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결과정산보고서" sheetId="1" r:id="rId4"/>
    <sheet state="visible" name="활동비지출일별내역" sheetId="2" r:id="rId5"/>
    <sheet state="visible" name="예산계획서 입력_예시" sheetId="3" r:id="rId6"/>
    <sheet state="hidden" name="4.관항목정리목록 (2)" sheetId="4" r:id="rId7"/>
    <sheet state="hidden" name="정산보고서" sheetId="5" r:id="rId8"/>
    <sheet state="hidden" name="결과정산보고서 (2)" sheetId="6" r:id="rId9"/>
  </sheets>
  <definedNames>
    <definedName localSheetId="3" name="ER">'4.관항목정리목록 (2)'!#REF!</definedName>
    <definedName localSheetId="3" name="관리운영비">'4.관항목정리목록 (2)'!#REF!</definedName>
    <definedName localSheetId="3" name="교육자료제작">'4.관항목정리목록 (2)'!#REF!</definedName>
    <definedName localSheetId="3" name="사업외비용">'4.관항목정리목록 (2)'!#REF!</definedName>
    <definedName localSheetId="3" name="사업외수입">'4.관항목정리목록 (2)'!#REF!</definedName>
    <definedName localSheetId="3" name="세목">'4.관항목정리목록 (2)'!#REF!</definedName>
    <definedName localSheetId="3" name="우산수리교육워크숍">'4.관항목정리목록 (2)'!#REF!</definedName>
    <definedName localSheetId="3" name="운영비">'4.관항목정리목록 (2)'!#REF!</definedName>
    <definedName localSheetId="3" name="유형">'4.관항목정리목록 (2)'!#REF!</definedName>
    <definedName localSheetId="3" name="인건비">'4.관항목정리목록 (2)'!#REF!</definedName>
    <definedName localSheetId="3" name="전담인력">'4.관항목정리목록 (2)'!#REF!</definedName>
    <definedName localSheetId="3" name="증빙종류">'4.관항목정리목록 (2)'!#REF!</definedName>
    <definedName localSheetId="3" name="학교참여수거모델개발">'4.관항목정리목록 (2)'!#REF!</definedName>
    <definedName localSheetId="3" name="홍보비">'4.관항목정리목록 (2)'!#REF!</definedName>
    <definedName localSheetId="3" name="후원금수입">'4.관항목정리목록 (2)'!#REF!</definedName>
    <definedName name="관리운영비">#REF!</definedName>
    <definedName name="우산수리교육워크숍">'결과정산보고서'!$C$9:$C$10</definedName>
    <definedName name="사업외비용">#REF!</definedName>
    <definedName name="사업외수입">#REF!</definedName>
    <definedName name="교육자료제작">#REF!</definedName>
    <definedName name="증빙종류">#REF!</definedName>
    <definedName localSheetId="2" name="사업외비용">#REF!</definedName>
    <definedName name="홍보비">#REF!</definedName>
    <definedName name="사업비">'결과정산보고서'!$C$9:$C$13</definedName>
    <definedName localSheetId="2" name="유형">#REF!</definedName>
    <definedName name="전담인력">#REF!</definedName>
    <definedName localSheetId="2" name="교육자료제작">#REF!</definedName>
    <definedName name="관">#REF!</definedName>
    <definedName localSheetId="2" name="세목">#REF!</definedName>
    <definedName localSheetId="3" name="수입">'4.관항목정리목록 (2)'!$E$7:$G$7</definedName>
    <definedName localSheetId="3" name="목">'4.관항목정리목록 (2)'!$D$4:$D$8</definedName>
    <definedName name="수입">'결과정산보고서'!$D$40:$D$42</definedName>
    <definedName localSheetId="2" name="학교참여수거모델개발">#REF!</definedName>
    <definedName name="운영비">'결과정산보고서'!$C$16</definedName>
    <definedName localSheetId="2" name="운영비">#REF!</definedName>
    <definedName localSheetId="2" name="근거자료">#REF!</definedName>
    <definedName localSheetId="2" name="관리운영비">#REF!</definedName>
    <definedName localSheetId="2" name="우산수리교육워크숍">'예산계획서 입력_예시'!$C$9:$C$10</definedName>
    <definedName localSheetId="3" name="관">'4.관항목정리목록 (2)'!$B$5:$B$8</definedName>
    <definedName localSheetId="2" name="사업비">'예산계획서 입력_예시'!$C$9:$C$13</definedName>
    <definedName name="인건비">#REF!</definedName>
    <definedName localSheetId="2" name="후원금수입">#REF!</definedName>
    <definedName name="유형">#REF!</definedName>
    <definedName localSheetId="2" name="전담인력">#REF!</definedName>
    <definedName localSheetId="2" name="관">#REF!</definedName>
    <definedName name="후원금수입">#REF!</definedName>
    <definedName name="학교참여수거모델개발">#REF!</definedName>
    <definedName localSheetId="2" name="홍보비">#REF!</definedName>
    <definedName name="근거자료">#REF!</definedName>
    <definedName name="ER">#REF!</definedName>
    <definedName localSheetId="2" name="증빙종류">#REF!</definedName>
    <definedName localSheetId="2" name="수입">'예산계획서 입력_예시'!$D$39:$D$41</definedName>
    <definedName localSheetId="2" name="인건비">#REF!</definedName>
    <definedName localSheetId="2" name="ER">#REF!</definedName>
    <definedName name="세목">#REF!</definedName>
    <definedName localSheetId="2" name="사업외수입">#REF!</definedName>
    <definedName hidden="1" localSheetId="4" name="_xlnm._FilterDatabase">'정산보고서'!$A$6:$K$32</definedName>
    <definedName hidden="1" localSheetId="5" name="_xlnm._FilterDatabase">'결과정산보고서 (2)'!$E$7:$K$8</definedName>
    <definedName name="MY_FUNCTION1">LAMBDA('활동비지출일별내역'!$G$7+IF('활동비지출일별내역'!$B$8="수입",'활동비지출일별내역'!$G$8,(-1*'활동비지출일별내역'!$G$8)))</definedName>
  </definedNames>
  <calcPr/>
  <extLst>
    <ext uri="GoogleSheetsCustomDataVersion2">
      <go:sheetsCustomData xmlns:go="http://customooxmlschemas.google.com/" r:id="rId10" roundtripDataChecksum="mawEkejbCCuhSIKPI0q74/tbh+sWIskjckYjyX6zpwc="/>
    </ext>
  </extLst>
</workbook>
</file>

<file path=xl/sharedStrings.xml><?xml version="1.0" encoding="utf-8"?>
<sst xmlns="http://schemas.openxmlformats.org/spreadsheetml/2006/main" count="1103" uniqueCount="297">
  <si>
    <r>
      <rPr>
        <rFont val="나눔고딕"/>
        <b/>
        <color theme="1"/>
        <sz val="20.0"/>
      </rPr>
      <t>시민아이디어지원사업 풀씨 12기</t>
    </r>
    <r>
      <rPr>
        <rFont val="나눔고딕"/>
        <b/>
        <color theme="1"/>
        <sz val="25.0"/>
      </rPr>
      <t xml:space="preserve">
활동 정산보고서</t>
    </r>
  </si>
  <si>
    <t>정산보고서 작성 가이드 (연노랑색 셀만 편집/입력하시면 됩니다)</t>
  </si>
  <si>
    <t xml:space="preserve">    팀명</t>
  </si>
  <si>
    <t>안심이</t>
  </si>
  <si>
    <t>대표자</t>
  </si>
  <si>
    <t>이근희</t>
  </si>
  <si>
    <t>활동기간</t>
  </si>
  <si>
    <t>2025.04.01 - 09.30</t>
  </si>
  <si>
    <t>◀</t>
  </si>
  <si>
    <t>1. 팀명, 대표자, 활동명을 작성해주세요.</t>
  </si>
  <si>
    <t xml:space="preserve">    활동명</t>
  </si>
  <si>
    <t>안심이 모두를 : 위한 재난 안전 데이터</t>
  </si>
  <si>
    <r>
      <rPr>
        <rFont val="나눔고딕"/>
        <b/>
        <color rgb="FF000000"/>
        <sz val="11.0"/>
      </rPr>
      <t xml:space="preserve">예산계획서
 </t>
    </r>
    <r>
      <rPr>
        <rFont val="나눔고딕"/>
        <b val="0"/>
        <color rgb="FF0000FF"/>
        <sz val="11.0"/>
      </rPr>
      <t xml:space="preserve">※ 지원 당시 또는 승인된 예산변경계획서 </t>
    </r>
  </si>
  <si>
    <r>
      <rPr>
        <rFont val="나눔고딕"/>
        <b/>
        <color rgb="FF000000"/>
        <sz val="11.0"/>
      </rPr>
      <t xml:space="preserve">정산보고서  
 </t>
    </r>
    <r>
      <rPr>
        <rFont val="나눔고딕"/>
        <b val="0"/>
        <color rgb="FF0000FF"/>
        <sz val="11.0"/>
      </rPr>
      <t>※실제 집행된 내용</t>
    </r>
  </si>
  <si>
    <t>구분</t>
  </si>
  <si>
    <t>내용</t>
  </si>
  <si>
    <t>금 액(원)</t>
  </si>
  <si>
    <t>내용(산출근거)</t>
  </si>
  <si>
    <t>사용액(원)</t>
  </si>
  <si>
    <t>잔액(원)</t>
  </si>
  <si>
    <t>항</t>
  </si>
  <si>
    <t>세목</t>
  </si>
  <si>
    <t>세세목</t>
  </si>
  <si>
    <t>사업비</t>
  </si>
  <si>
    <t>행사</t>
  </si>
  <si>
    <t>시민워크숍</t>
  </si>
  <si>
    <t>식사 및 다과 15,000 x 3회 x 10인 = 450,000원</t>
  </si>
  <si>
    <t xml:space="preserve">6월 25일/밋앤핵 다과/(주)우아한형제들/175,900
6월 25일/밋앤핵 다과2/(주)우아한형제들/76,500
9월 11일/FTO 다과/(주)시티플러스 제2터미널점/79,036
9월 24일/인터뷰 다과/스타벅스코리아/27,600 </t>
  </si>
  <si>
    <t>2. 지원서에 쓰셨던 예산계획서에 맞게 세목, 세세목, 내용, 금액을 작성해주세요. 
★하단 맨 우측의 '예산계획서 입력_예시'를 참고해주세요.
★세목, 세세목이 더 적은 경우 행 삭제를 하셔도 되고, 그대로 두셔도 됩니다.
★세세목 이름이 동일하게 겹치지 않도록 해주세요. 
Ex) 세목1이 행사1, 세목2가 행사2라서 세세목1, 세세목2 모두 다과비라면, 
세세목1에는 다과비1, 세세목2에는 다과비2 로 작성하셔서 뒤에 숫자로 구분해주세요.
3. 정산보고서 내용 부분은 하단 두번째 탭 '활동비지출일별내역'을 작성하시면 자동으로 입력됩니다.  
(하단 두번째 탭 부분을 꼭 작성해주세요)</t>
  </si>
  <si>
    <t>전문가 간담회</t>
  </si>
  <si>
    <t>발제비 및 회의 수당 100,000 x 5회 = 500,000원</t>
  </si>
  <si>
    <t xml:space="preserve">9월 18일/이준기(장애인 활동지원사)/이준기/100,000 
9월 22일/김용양(장애인 활동지원사)/김용양/100,000 </t>
  </si>
  <si>
    <t>데이터 수집</t>
  </si>
  <si>
    <t>인터뷰</t>
  </si>
  <si>
    <r>
      <rPr>
        <rFont val="나눔고딕"/>
        <strike/>
        <color rgb="FF000000"/>
        <sz val="11.0"/>
      </rPr>
      <t>설문조사 5,000 x 240인 = 1,200,000원</t>
    </r>
    <r>
      <rPr>
        <rFont val="나눔고딕"/>
        <color rgb="FF000000"/>
        <sz val="11.0"/>
      </rPr>
      <t xml:space="preserve">
개별 인터뷰 비용 12인 x 100,000 = 1,200,000원
*사유서 제출로 예산 세부 내역 변경함.</t>
    </r>
  </si>
  <si>
    <t>9월 18일/장혜정(발달장애 청년허브 사부작)/장혜정/100,000
9월 20일/정지원(발달장애 청년허브 사부작)/정지원/100,000
9월 22일/여인찬(발달장애 청년허브 사부작/여인찬/100,000
9월 25일/김새봄(영유아 동반자)/김새봄/100,000
9월 25일/Clarissa Fionna(외국인 유학생)/Clarissa Fionna/100,000
9월 25일 /Coppoolse Anneke(외국인 노동자, 반려동물 동반자)/Coppoolse Anneke/100,000
9월 27일/김지연(영유아 동반자)/김지연/100,000
9월 29일/Sor Sythem(외국인 노동자)/Sor Sythem/100,000
9월 29일/Hanokers(외국인 노동자)/한옥커스(Hanokers)/100,000
9월 29일/Dewan Jana(외국인 노동자)/Dewan Jana/100,000</t>
  </si>
  <si>
    <t>홍보비</t>
  </si>
  <si>
    <t>웹사이트</t>
  </si>
  <si>
    <t>웹사이트 디자인 500,000 x 1식 = 500,000원</t>
  </si>
  <si>
    <t>웹사이트 디자인 툴 FIGMA 사용
7월 16일/웹사이트디자인 FIGMA-jul/FIGMA/62,945
8월16일/웹사이트디자인 FIGMA-aug/FIGMA/63,042
9월 16일/웹사이트디자인 FIGMA-sep/FIGMA /31,658
웹사이트 디자인 및 개발
9월 24일/김성준-웹사이트 디자인/김성준/310,080</t>
  </si>
  <si>
    <t>홍보물</t>
  </si>
  <si>
    <t>SNS 홍보물 및 발표 자료 디자인 310,000 x 1식 = 350,000원</t>
  </si>
  <si>
    <t>9월 4일/김정현-홍보물 디자인/김정현/319,200</t>
  </si>
  <si>
    <t>세금</t>
  </si>
  <si>
    <t>원천징수액</t>
  </si>
  <si>
    <t>10월11일/재단법인 숲과나눔
김정현-홍보물 디자인 = 30,800
김성준-웹사이트 디자인 = 29,920
합계 = 60,720</t>
  </si>
  <si>
    <t>수입</t>
  </si>
  <si>
    <t>소 계</t>
  </si>
  <si>
    <t>운영비</t>
  </si>
  <si>
    <t>합 계</t>
  </si>
  <si>
    <t>잔액환급여부</t>
  </si>
  <si>
    <t>4. 자동으로 계산된 합계, 이자, 캐시백, 환급액을 확인하시고, 최종 정산일에 환급필요가 떴을 경우 잔액 전부 환급해주시면 됩니다.</t>
  </si>
  <si>
    <t>이자, 캐시백</t>
  </si>
  <si>
    <t>환급액</t>
  </si>
  <si>
    <t>환급날짜</t>
  </si>
  <si>
    <t>10월11일</t>
  </si>
  <si>
    <t>최종잔액
(통장잔액, 환급전)</t>
  </si>
  <si>
    <r>
      <rPr>
        <rFont val="나눔고딕"/>
        <b/>
        <color theme="1"/>
        <sz val="12.0"/>
      </rPr>
      <t xml:space="preserve">* 첨부서류 : 활동비 통장거래내역 1부, 90만원 이상 항목의 견적서
</t>
    </r>
    <r>
      <rPr>
        <rFont val="나눔고딕"/>
        <color theme="1"/>
        <sz val="12.0"/>
      </rPr>
      <t xml:space="preserve">
활동비 사용기준표에 의하여 위와 같이 활동비 사용내역을 보고합니다.
2025 년    10월     11일
팀명 또는 개인  :       안심이                   (인)
</t>
    </r>
    <r>
      <rPr>
        <rFont val="나눔고딕"/>
        <b/>
        <color theme="1"/>
        <sz val="30.0"/>
      </rPr>
      <t xml:space="preserve">
(재)숲과나눔 이사장 귀하</t>
    </r>
  </si>
  <si>
    <t>5. 최종 보고일, 서명을 완료하여 제출해주세요.</t>
  </si>
  <si>
    <t>이자</t>
  </si>
  <si>
    <t>캐시백</t>
  </si>
  <si>
    <t>활동비</t>
  </si>
  <si>
    <r>
      <rPr>
        <rFont val="나눔고딕"/>
        <b/>
        <color theme="1"/>
        <sz val="20.0"/>
      </rPr>
      <t>시민아이디어지원사업 풀씨 11기</t>
    </r>
    <r>
      <rPr>
        <rFont val="나눔고딕"/>
        <b/>
        <color theme="1"/>
        <sz val="25.0"/>
      </rPr>
      <t xml:space="preserve">
활동비지출일별내역
</t>
    </r>
    <r>
      <rPr>
        <rFont val="나눔고딕"/>
        <b/>
        <color theme="1"/>
        <sz val="15.0"/>
      </rPr>
      <t>&lt;2025.04.01 ∼ 2025.09.30&gt;</t>
    </r>
  </si>
  <si>
    <t>팀명</t>
  </si>
  <si>
    <t>거래은행</t>
  </si>
  <si>
    <t>토스뱅크</t>
  </si>
  <si>
    <t>↓지출한 사유를 자세히 적어주세요</t>
  </si>
  <si>
    <t>총 지출액</t>
  </si>
  <si>
    <t>최종 잔액</t>
  </si>
  <si>
    <t>* 90만원 이상시 견적서 제출
*인건비 12만5천 이상시 세금 신고</t>
  </si>
  <si>
    <t>계좌번호</t>
  </si>
  <si>
    <t>1001-8557-1370</t>
  </si>
  <si>
    <t>순서</t>
  </si>
  <si>
    <t>거래일자</t>
  </si>
  <si>
    <t>거래처명</t>
  </si>
  <si>
    <t>수입/지출금액</t>
  </si>
  <si>
    <t>잔액</t>
  </si>
  <si>
    <t>비고</t>
  </si>
  <si>
    <t>활동비입금</t>
  </si>
  <si>
    <t>재단법인 숲과나눔</t>
  </si>
  <si>
    <t>이체</t>
  </si>
  <si>
    <t>통장 이자</t>
  </si>
  <si>
    <t>밋앤핵 다과</t>
  </si>
  <si>
    <t>(주)우아한형제들</t>
  </si>
  <si>
    <t>카드</t>
  </si>
  <si>
    <t>밋앤핵 다과2</t>
  </si>
  <si>
    <t>웹사이트디자인 FIGMA-jul</t>
  </si>
  <si>
    <t>FIGMA</t>
  </si>
  <si>
    <t>8월1일</t>
  </si>
  <si>
    <t>8월16일</t>
  </si>
  <si>
    <t>웹사이트디자인 FIGMA-aug</t>
  </si>
  <si>
    <t>9월1일</t>
  </si>
  <si>
    <t>김정현-홍보물 디자인</t>
  </si>
  <si>
    <t>김정현</t>
  </si>
  <si>
    <t>FTO 다과</t>
  </si>
  <si>
    <t>(주)시티플러스 제2터미널점</t>
  </si>
  <si>
    <t>웹사이트디자인 FIGMA-sep</t>
  </si>
  <si>
    <t>장혜정 (발달장애 청년허브 사부작)</t>
  </si>
  <si>
    <t>장혜정</t>
  </si>
  <si>
    <t>이준기 (장애인 활동지원사)</t>
  </si>
  <si>
    <t>이준기</t>
  </si>
  <si>
    <t>정지원 (발달장애 청년허브 사부작)</t>
  </si>
  <si>
    <t>정지원</t>
  </si>
  <si>
    <t>여인찬 (발달장애 청년허브 사부작)</t>
  </si>
  <si>
    <t>여인찬</t>
  </si>
  <si>
    <t>김용양 (장애인 활동지원사)</t>
  </si>
  <si>
    <t>김용양</t>
  </si>
  <si>
    <t>김성준-웹사이트 디자인</t>
  </si>
  <si>
    <t>김성준</t>
  </si>
  <si>
    <t>인터뷰 다과</t>
  </si>
  <si>
    <t>스타벅스코리아</t>
  </si>
  <si>
    <t>김새봄 (영유아 보호자)</t>
  </si>
  <si>
    <t>김새봄</t>
  </si>
  <si>
    <t>Clarissa Fionna (외국인 유학생)</t>
  </si>
  <si>
    <t>Clarissa Fionna</t>
  </si>
  <si>
    <t>Coppoolse Anneke (외국인, 반려동물)</t>
  </si>
  <si>
    <t>Coppoolse Anneke</t>
  </si>
  <si>
    <t>김지연 (영유아 보호자)</t>
  </si>
  <si>
    <t>김지연</t>
  </si>
  <si>
    <t>Sor Sythem (외국인 노동자)</t>
  </si>
  <si>
    <t>Sor Sythem</t>
  </si>
  <si>
    <t>Hanokers (외국인 노동자)</t>
  </si>
  <si>
    <t>한옥커스(Hanokers)</t>
  </si>
  <si>
    <t>Dewan Jana (외국인 노동자)</t>
  </si>
  <si>
    <t>Dewan Jana</t>
  </si>
  <si>
    <t>10월1일</t>
  </si>
  <si>
    <t>원천징수액 입금</t>
  </si>
  <si>
    <r>
      <rPr>
        <rFont val="나눔고딕"/>
        <b/>
        <color theme="1"/>
        <sz val="20.0"/>
      </rPr>
      <t>시민아이디어지원사업 풀씨 12기</t>
    </r>
    <r>
      <rPr>
        <rFont val="나눔고딕"/>
        <b/>
        <color theme="1"/>
        <sz val="25.0"/>
      </rPr>
      <t xml:space="preserve">
활동 정산보고서</t>
    </r>
  </si>
  <si>
    <r>
      <rPr>
        <rFont val="나눔고딕"/>
        <b/>
        <color rgb="FF000000"/>
        <sz val="11.0"/>
      </rPr>
      <t xml:space="preserve">예산계획서
 </t>
    </r>
    <r>
      <rPr>
        <rFont val="나눔고딕"/>
        <b val="0"/>
        <color rgb="FF0000FF"/>
        <sz val="11.0"/>
      </rPr>
      <t xml:space="preserve">※ 지원 당시 또는 승인된 예산변경계획서 </t>
    </r>
  </si>
  <si>
    <r>
      <rPr>
        <rFont val="나눔고딕"/>
        <b/>
        <color rgb="FF000000"/>
        <sz val="11.0"/>
      </rPr>
      <t xml:space="preserve">정산보고서  
 </t>
    </r>
    <r>
      <rPr>
        <rFont val="나눔고딕"/>
        <b val="0"/>
        <color rgb="FF0000FF"/>
        <sz val="11.0"/>
      </rPr>
      <t>※실제 집행된 내용</t>
    </r>
  </si>
  <si>
    <t>예산계획서 입력 예시드립니다. 참고 부탁드립니다. (세목과 세세목이 동일한 경우 세세목만 입력하셔도 됩니다.)</t>
  </si>
  <si>
    <r>
      <rPr>
        <rFont val="나눔고딕"/>
        <strike/>
        <color rgb="FF000000"/>
        <sz val="11.0"/>
      </rPr>
      <t>설문조사 5,000 x 240인 = 1,200,000원</t>
    </r>
    <r>
      <rPr>
        <rFont val="나눔고딕"/>
        <color rgb="FF000000"/>
        <sz val="11.0"/>
      </rPr>
      <t xml:space="preserve">
개별 인터뷰 비용 12인 x 100,000 = 1,200,000원
*사유서 제출로 예산 세부 내역 변경함.</t>
    </r>
  </si>
  <si>
    <t xml:space="preserve">웹사이트 디자인 500,000 x 1식 = 500,000원
</t>
  </si>
  <si>
    <r>
      <rPr>
        <rFont val="나눔고딕"/>
        <b/>
        <color theme="1"/>
        <sz val="12.0"/>
      </rPr>
      <t xml:space="preserve">* 첨부서류 : 활동비 통장거래내역 1부, 90만원 이상 항목의 견적서
</t>
    </r>
    <r>
      <rPr>
        <rFont val="나눔고딕"/>
        <color theme="1"/>
        <sz val="12.0"/>
      </rPr>
      <t xml:space="preserve">
활동비 사용기준표에 의하여 위와 같이 활동비 사용내역을 보고합니다.
2025 년     10월    12일
팀명 또는 개인  :         안심이                   (인)
</t>
    </r>
    <r>
      <rPr>
        <rFont val="나눔고딕"/>
        <b/>
        <color theme="1"/>
        <sz val="30.0"/>
      </rPr>
      <t xml:space="preserve">
(재)숲과나눔 이사장 귀하</t>
    </r>
  </si>
  <si>
    <t>최종 예산에 따라 관/세목/세세목을 정리해주세요.</t>
  </si>
  <si>
    <t>관</t>
  </si>
  <si>
    <t>열1</t>
  </si>
  <si>
    <t>열2</t>
  </si>
  <si>
    <t>열3</t>
  </si>
  <si>
    <t>열4</t>
  </si>
  <si>
    <t>복지부2005</t>
  </si>
  <si>
    <t>복지부2006</t>
  </si>
  <si>
    <t>복지부2007</t>
  </si>
  <si>
    <t>복지부2008</t>
  </si>
  <si>
    <t>복지부2009</t>
  </si>
  <si>
    <t>서울희망드림뱅크2009</t>
  </si>
  <si>
    <t>국민은행2008</t>
  </si>
  <si>
    <t>씨티2009</t>
  </si>
  <si>
    <t>경상회계</t>
  </si>
  <si>
    <t>우산수리교육워크숍</t>
  </si>
  <si>
    <t>인건비</t>
  </si>
  <si>
    <t>간접사업비</t>
  </si>
  <si>
    <t>지역지도자양성</t>
  </si>
  <si>
    <t>매롱</t>
  </si>
  <si>
    <t>얼레리</t>
  </si>
  <si>
    <t>닐리리</t>
  </si>
  <si>
    <t>전문가전략회의</t>
  </si>
  <si>
    <t>사례관리활동</t>
  </si>
  <si>
    <t>경영컨설팅(전문가)</t>
  </si>
  <si>
    <t>총괄자 인건비</t>
  </si>
  <si>
    <t>사업경비</t>
  </si>
  <si>
    <t>사전관리</t>
  </si>
  <si>
    <t>지역네트워크강화</t>
  </si>
  <si>
    <t>매롱2</t>
  </si>
  <si>
    <t>얼레리2</t>
  </si>
  <si>
    <t>닐리리2</t>
  </si>
  <si>
    <t>모형개발활동</t>
  </si>
  <si>
    <t>지역지도자대표활동</t>
  </si>
  <si>
    <t>경영컨설팅(산학협력)</t>
  </si>
  <si>
    <t>시스템분석</t>
  </si>
  <si>
    <t>수행자인건비</t>
  </si>
  <si>
    <t>사후관리</t>
  </si>
  <si>
    <t>업무시스템</t>
  </si>
  <si>
    <t>매롱3</t>
  </si>
  <si>
    <t>얼레리3</t>
  </si>
  <si>
    <t>닐리리3</t>
  </si>
  <si>
    <t>1차워크숍(전체)</t>
  </si>
  <si>
    <t>슈퍼비전회의</t>
  </si>
  <si>
    <t>공동체 교육</t>
  </si>
  <si>
    <t>시스템도입</t>
  </si>
  <si>
    <t>매롱4</t>
  </si>
  <si>
    <t>얼레리4</t>
  </si>
  <si>
    <t>닐리리4</t>
  </si>
  <si>
    <t>발표비</t>
  </si>
  <si>
    <t>지회별 워크숍</t>
  </si>
  <si>
    <t>회계감사비</t>
  </si>
  <si>
    <t>매롱5</t>
  </si>
  <si>
    <t>얼레리5</t>
  </si>
  <si>
    <t>닐리리5</t>
  </si>
  <si>
    <t>발표자료 작성비</t>
  </si>
  <si>
    <t>통장입출금거래내역</t>
  </si>
  <si>
    <t>통장거래내역별수지현황</t>
  </si>
  <si>
    <t>차액</t>
  </si>
  <si>
    <t>2023년 초록열매성과확산프로젝트 사업비 수지현황</t>
  </si>
  <si>
    <t>계정과목</t>
  </si>
  <si>
    <t>목</t>
  </si>
  <si>
    <t>산출근거</t>
  </si>
  <si>
    <t>예산액</t>
  </si>
  <si>
    <t>수입총계</t>
  </si>
  <si>
    <t>지출총계</t>
  </si>
  <si>
    <t>집행잔액</t>
  </si>
  <si>
    <t>집행비율</t>
  </si>
  <si>
    <t>예금대체</t>
  </si>
  <si>
    <t>예금간거래입금</t>
  </si>
  <si>
    <t>예금간거래출금</t>
  </si>
  <si>
    <t>소계</t>
  </si>
  <si>
    <t>후원금수입</t>
  </si>
  <si>
    <t>지정후원금수입</t>
  </si>
  <si>
    <t>사업수입</t>
  </si>
  <si>
    <t>사업외수익</t>
  </si>
  <si>
    <t>예금이자수입</t>
  </si>
  <si>
    <t>사업외비용</t>
  </si>
  <si>
    <t>선급법인세</t>
  </si>
  <si>
    <t>잡수입</t>
  </si>
  <si>
    <t>잡지출</t>
  </si>
  <si>
    <t>전담인력</t>
  </si>
  <si>
    <t>급여</t>
  </si>
  <si>
    <t>사회보험</t>
  </si>
  <si>
    <t>학교참여수거모델개발</t>
  </si>
  <si>
    <t>개발회의비</t>
  </si>
  <si>
    <t>학교수거공간조성비</t>
  </si>
  <si>
    <t>자원순환교육</t>
  </si>
  <si>
    <t>종이팩수거</t>
  </si>
  <si>
    <t>교육자료제작</t>
  </si>
  <si>
    <t>회의비</t>
  </si>
  <si>
    <t>자료제작비</t>
  </si>
  <si>
    <t>관리운영비</t>
  </si>
  <si>
    <t>출장비</t>
  </si>
  <si>
    <t>사무용품비</t>
  </si>
  <si>
    <t>우편료·수수료 등</t>
  </si>
  <si>
    <t>총계</t>
  </si>
  <si>
    <r>
      <rPr>
        <rFont val="나눔고딕"/>
        <b/>
        <color theme="1"/>
        <sz val="20.0"/>
      </rPr>
      <t>시민아이디어지원사업 풀씨 11기</t>
    </r>
    <r>
      <rPr>
        <rFont val="나눔고딕"/>
        <b/>
        <color theme="1"/>
        <sz val="25.0"/>
      </rPr>
      <t xml:space="preserve">
활동 정산보고서</t>
    </r>
  </si>
  <si>
    <t>2024.04.01 - 2024.9.30</t>
  </si>
  <si>
    <r>
      <rPr>
        <rFont val="나눔고딕"/>
        <b/>
        <color rgb="FF000000"/>
        <sz val="14.0"/>
      </rPr>
      <t>예산계획서</t>
    </r>
    <r>
      <rPr>
        <rFont val="나눔고딕"/>
        <b/>
        <color rgb="FF000000"/>
        <sz val="12.0"/>
      </rPr>
      <t xml:space="preserve">
 </t>
    </r>
    <r>
      <rPr>
        <rFont val="나눔고딕"/>
        <color rgb="FF0000FF"/>
        <sz val="9.0"/>
      </rPr>
      <t xml:space="preserve">※ 지원 당시 또는 승인된 예산변경계획서 </t>
    </r>
  </si>
  <si>
    <r>
      <rPr>
        <rFont val="Malgun Gothic"/>
        <color theme="1"/>
        <sz val="11.0"/>
      </rPr>
      <t xml:space="preserve">정산보고서  
 </t>
    </r>
    <r>
      <rPr>
        <rFont val="나눔고딕"/>
        <color rgb="FF0000FF"/>
        <sz val="11.0"/>
      </rPr>
      <t>※실제 집행된 내용</t>
    </r>
  </si>
  <si>
    <r>
      <rPr>
        <rFont val="Malgun Gothic"/>
        <color theme="1"/>
        <sz val="11.0"/>
      </rPr>
      <t xml:space="preserve">집행날짜
</t>
    </r>
    <r>
      <rPr>
        <rFont val="나눔고딕"/>
        <b/>
        <color rgb="FF000000"/>
        <sz val="8.0"/>
      </rPr>
      <t>(통장거래내역과 동일)</t>
    </r>
  </si>
  <si>
    <t>단위당 가격(원)</t>
  </si>
  <si>
    <t>단위수량</t>
  </si>
  <si>
    <t>단위</t>
  </si>
  <si>
    <t>총금액</t>
  </si>
  <si>
    <t>정책간담회</t>
  </si>
  <si>
    <t>3월 10일</t>
  </si>
  <si>
    <t>행사 장소 대관</t>
  </si>
  <si>
    <t>100,000</t>
  </si>
  <si>
    <t>시간</t>
  </si>
  <si>
    <t>장소: 토스강남점</t>
  </si>
  <si>
    <t>3월 12일</t>
  </si>
  <si>
    <t>행사다과비(음료)</t>
  </si>
  <si>
    <t>4000</t>
  </si>
  <si>
    <t>명</t>
  </si>
  <si>
    <t>투썸플레이스</t>
  </si>
  <si>
    <t>3월 13일</t>
  </si>
  <si>
    <t>외부강사초청</t>
  </si>
  <si>
    <t>150000</t>
  </si>
  <si>
    <t>김00박사</t>
  </si>
  <si>
    <t>5월 4일</t>
  </si>
  <si>
    <t>참가자 상품 (아메리카노 쿠폰)</t>
  </si>
  <si>
    <t>3000</t>
  </si>
  <si>
    <t>오피스콘 이용</t>
  </si>
  <si>
    <t>교육책자 발간</t>
  </si>
  <si>
    <t>4월 10일</t>
  </si>
  <si>
    <t>외부전문가 감수비</t>
  </si>
  <si>
    <t>회</t>
  </si>
  <si>
    <t>한국00연구소 
이00박사</t>
  </si>
  <si>
    <t>4월 12일</t>
  </si>
  <si>
    <t>책자 1종 디자인 및 인쇄비
(30권)</t>
  </si>
  <si>
    <t>450000</t>
  </si>
  <si>
    <t>풀씨디자인</t>
  </si>
  <si>
    <t>책자 발간 회의 식사 1차</t>
  </si>
  <si>
    <t>18500</t>
  </si>
  <si>
    <t>3명, 풀씨마라탕</t>
  </si>
  <si>
    <t>배포 우편비</t>
  </si>
  <si>
    <t>2000</t>
  </si>
  <si>
    <t>4월 18일</t>
  </si>
  <si>
    <t>책자 발간 회의 식사 2차</t>
  </si>
  <si>
    <t>10000</t>
  </si>
  <si>
    <t>풀씨반점</t>
  </si>
  <si>
    <t>7월 2일</t>
  </si>
  <si>
    <t>행사 및 교육책자 광고(인스타)</t>
  </si>
  <si>
    <t>80000</t>
  </si>
  <si>
    <t>6월 1일~6월 8일(7일)</t>
  </si>
  <si>
    <t>금융수수료</t>
  </si>
  <si>
    <t>이체 수수료</t>
  </si>
  <si>
    <t>3월 20일</t>
  </si>
  <si>
    <t>중간보고 회의 식비</t>
  </si>
  <si>
    <t>3명, 풀씨반점</t>
  </si>
  <si>
    <t>4월 2일</t>
  </si>
  <si>
    <t>사무용품</t>
  </si>
  <si>
    <t>세트</t>
  </si>
  <si>
    <t>모닝글로리</t>
  </si>
  <si>
    <t xml:space="preserve"> 4월 10일</t>
  </si>
  <si>
    <t>7월 8일</t>
  </si>
  <si>
    <t>결과보고서 회의 식비</t>
  </si>
  <si>
    <t>결과보고서 회의 다과</t>
  </si>
  <si>
    <t>3명, 스타벅스</t>
  </si>
  <si>
    <t>* 최종잔액 10,000원 이상시 재단에 환급</t>
  </si>
  <si>
    <r>
      <rPr>
        <rFont val="나눔고딕"/>
        <b/>
        <color theme="1"/>
        <sz val="12.0"/>
      </rPr>
      <t xml:space="preserve">*첨부서류 : 활동비 통장거래내역 1부
</t>
    </r>
    <r>
      <rPr>
        <rFont val="나눔고딕"/>
        <color theme="1"/>
        <sz val="12.0"/>
      </rPr>
      <t xml:space="preserve">
활동비 사용기준표에 의하여 위와 같이 활동비 사용내역을 보고합니다.
년     월      일
팀명 또는 개인  :                              (인)
</t>
    </r>
    <r>
      <rPr>
        <rFont val="나눔고딕"/>
        <b/>
        <color theme="1"/>
        <sz val="30.0"/>
      </rPr>
      <t xml:space="preserve">
(재)숲과나눔 이사장 귀하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</si>
</sst>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m&quot;월&quot;\ d&quot;일&quot;"/>
  </numFmts>
  <fonts count="20">
    <font>
      <sz val="11.0"/>
      <color theme="1"/>
      <name val="Calibri"/>
      <scheme val="minor"/>
    </font>
    <font>
      <b/>
      <sz val="11.0"/>
      <color theme="1"/>
      <name val="나눔고딕"/>
    </font>
    <font>
      <sz val="11.0"/>
      <color theme="1"/>
      <name val="Malgun Gothic"/>
    </font>
    <font>
      <b/>
      <sz val="26.0"/>
      <color theme="0"/>
      <name val="Malgun Gothic"/>
    </font>
    <font>
      <sz val="11.0"/>
      <color theme="0"/>
      <name val="Malgun Gothic"/>
    </font>
    <font>
      <b/>
      <sz val="12.0"/>
      <color theme="1"/>
      <name val="나눔고딕"/>
    </font>
    <font/>
    <font>
      <sz val="12.0"/>
      <color theme="1"/>
      <name val="나눔고딕"/>
    </font>
    <font>
      <sz val="16.0"/>
      <color theme="0"/>
      <name val="Malgun Gothic"/>
    </font>
    <font>
      <b/>
      <sz val="11.0"/>
      <color rgb="FF000000"/>
      <name val="나눔고딕"/>
    </font>
    <font>
      <sz val="11.0"/>
      <color theme="1"/>
      <name val="나눔고딕"/>
    </font>
    <font>
      <sz val="11.0"/>
      <color rgb="FF000000"/>
      <name val="나눔고딕"/>
    </font>
    <font>
      <b/>
      <sz val="11.0"/>
      <color rgb="FFCFE5C0"/>
      <name val="나눔고딕"/>
    </font>
    <font>
      <sz val="11.0"/>
      <color rgb="FFCFE5C0"/>
      <name val="나눔고딕"/>
    </font>
    <font>
      <sz val="11.0"/>
      <color rgb="FFFF0000"/>
      <name val="나눔고딕"/>
    </font>
    <font>
      <b/>
      <sz val="11.0"/>
      <color theme="1"/>
      <name val="Malgun Gothic"/>
    </font>
    <font>
      <sz val="11.0"/>
      <color rgb="FFE2EFD9"/>
      <name val="Malgun Gothic"/>
    </font>
    <font>
      <sz val="10.0"/>
      <color theme="1"/>
      <name val="Malgun Gothic"/>
    </font>
    <font>
      <sz val="20.0"/>
      <color theme="0"/>
      <name val="Malgun Gothic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FE5C0"/>
        <bgColor rgb="FFCFE5C0"/>
      </patternFill>
    </fill>
    <fill>
      <patternFill patternType="solid">
        <fgColor rgb="FFE2EFD9"/>
        <bgColor rgb="FFE2EFD9"/>
      </patternFill>
    </fill>
  </fills>
  <borders count="9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ck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/>
      <bottom style="medium">
        <color rgb="FF000000"/>
      </bottom>
    </border>
    <border>
      <right/>
      <bottom style="medium">
        <color rgb="FF000000"/>
      </bottom>
    </border>
    <border>
      <left/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right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/>
      <right style="thin">
        <color rgb="FF000000"/>
      </right>
      <top style="medium">
        <color rgb="FF000000"/>
      </top>
    </border>
    <border>
      <left/>
      <right style="thin">
        <color rgb="FF000000"/>
      </right>
    </border>
    <border>
      <left style="thick">
        <color rgb="FF000000"/>
      </left>
      <bottom style="thin">
        <color rgb="FF000000"/>
      </bottom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3" fontId="7" numFmtId="0" xfId="0" applyAlignment="1" applyBorder="1" applyFill="1" applyFont="1">
      <alignment horizontal="left" readingOrder="0" shrinkToFit="0" vertical="center" wrapText="1"/>
    </xf>
    <xf borderId="4" fillId="2" fontId="5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left" readingOrder="0" vertical="center"/>
    </xf>
    <xf borderId="4" fillId="2" fontId="5" numFmtId="0" xfId="0" applyAlignment="1" applyBorder="1" applyFont="1">
      <alignment horizontal="center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6" fillId="0" fontId="6" numFmtId="0" xfId="0" applyBorder="1" applyFont="1"/>
    <xf borderId="7" fillId="0" fontId="6" numFmtId="0" xfId="0" applyBorder="1" applyFont="1"/>
    <xf borderId="8" fillId="0" fontId="4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9" fillId="2" fontId="5" numFmtId="0" xfId="0" applyAlignment="1" applyBorder="1" applyFont="1">
      <alignment horizontal="center" vertical="center"/>
    </xf>
    <xf borderId="10" fillId="0" fontId="6" numFmtId="0" xfId="0" applyBorder="1" applyFont="1"/>
    <xf borderId="11" fillId="3" fontId="7" numFmtId="0" xfId="0" applyAlignment="1" applyBorder="1" applyFont="1">
      <alignment horizontal="center" readingOrder="0" shrinkToFit="0" vertical="center" wrapText="1"/>
    </xf>
    <xf borderId="12" fillId="0" fontId="6" numFmtId="0" xfId="0" applyBorder="1" applyFont="1"/>
    <xf borderId="13" fillId="0" fontId="6" numFmtId="0" xfId="0" applyBorder="1" applyFont="1"/>
    <xf borderId="8" fillId="0" fontId="6" numFmtId="0" xfId="0" applyBorder="1" applyFont="1"/>
    <xf borderId="14" fillId="5" fontId="9" numFmtId="0" xfId="0" applyAlignment="1" applyBorder="1" applyFill="1" applyFont="1">
      <alignment horizontal="center" shrinkToFit="0" vertical="center" wrapText="1"/>
    </xf>
    <xf borderId="15" fillId="0" fontId="6" numFmtId="0" xfId="0" applyBorder="1" applyFont="1"/>
    <xf borderId="16" fillId="0" fontId="6" numFmtId="0" xfId="0" applyBorder="1" applyFont="1"/>
    <xf borderId="17" fillId="5" fontId="9" numFmtId="0" xfId="0" applyAlignment="1" applyBorder="1" applyFont="1">
      <alignment horizontal="center" shrinkToFit="0" vertical="center" wrapText="1"/>
    </xf>
    <xf borderId="18" fillId="0" fontId="6" numFmtId="0" xfId="0" applyBorder="1" applyFont="1"/>
    <xf borderId="19" fillId="5" fontId="9" numFmtId="0" xfId="0" applyAlignment="1" applyBorder="1" applyFont="1">
      <alignment horizontal="center" shrinkToFit="0" vertical="center" wrapText="1"/>
    </xf>
    <xf borderId="20" fillId="0" fontId="6" numFmtId="0" xfId="0" applyBorder="1" applyFont="1"/>
    <xf borderId="21" fillId="0" fontId="6" numFmtId="0" xfId="0" applyBorder="1" applyFont="1"/>
    <xf borderId="22" fillId="5" fontId="9" numFmtId="0" xfId="0" applyAlignment="1" applyBorder="1" applyFont="1">
      <alignment horizontal="center" shrinkToFit="0" vertical="center" wrapText="1"/>
    </xf>
    <xf borderId="23" fillId="5" fontId="9" numFmtId="0" xfId="0" applyAlignment="1" applyBorder="1" applyFont="1">
      <alignment horizontal="center" shrinkToFit="0" vertical="center" wrapText="1"/>
    </xf>
    <xf borderId="24" fillId="5" fontId="9" numFmtId="0" xfId="0" applyAlignment="1" applyBorder="1" applyFont="1">
      <alignment horizontal="center" shrinkToFit="0" vertical="center" wrapText="1"/>
    </xf>
    <xf borderId="25" fillId="0" fontId="6" numFmtId="0" xfId="0" applyBorder="1" applyFont="1"/>
    <xf borderId="26" fillId="0" fontId="6" numFmtId="0" xfId="0" applyBorder="1" applyFont="1"/>
    <xf borderId="27" fillId="5" fontId="9" numFmtId="0" xfId="0" applyAlignment="1" applyBorder="1" applyFont="1">
      <alignment horizontal="center" shrinkToFit="0" vertical="center" wrapText="1"/>
    </xf>
    <xf borderId="28" fillId="5" fontId="9" numFmtId="0" xfId="0" applyAlignment="1" applyBorder="1" applyFont="1">
      <alignment horizontal="center" shrinkToFit="0" vertical="center" wrapText="1"/>
    </xf>
    <xf borderId="29" fillId="5" fontId="9" numFmtId="0" xfId="0" applyAlignment="1" applyBorder="1" applyFont="1">
      <alignment horizontal="center" shrinkToFit="0" vertical="center" wrapText="1"/>
    </xf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33" fillId="0" fontId="6" numFmtId="0" xfId="0" applyBorder="1" applyFont="1"/>
    <xf borderId="34" fillId="0" fontId="6" numFmtId="0" xfId="0" applyBorder="1" applyFont="1"/>
    <xf borderId="35" fillId="0" fontId="6" numFmtId="0" xfId="0" applyBorder="1" applyFont="1"/>
    <xf borderId="36" fillId="5" fontId="9" numFmtId="0" xfId="0" applyAlignment="1" applyBorder="1" applyFont="1">
      <alignment horizontal="center" shrinkToFit="0" vertical="center" wrapText="1"/>
    </xf>
    <xf borderId="22" fillId="3" fontId="9" numFmtId="0" xfId="0" applyAlignment="1" applyBorder="1" applyFont="1">
      <alignment horizontal="center" readingOrder="0" shrinkToFit="0" vertical="center" wrapText="1"/>
    </xf>
    <xf borderId="37" fillId="3" fontId="9" numFmtId="0" xfId="0" applyAlignment="1" applyBorder="1" applyFont="1">
      <alignment horizontal="center" readingOrder="0" shrinkToFit="0" vertical="center" wrapText="1"/>
    </xf>
    <xf borderId="38" fillId="3" fontId="10" numFmtId="0" xfId="0" applyAlignment="1" applyBorder="1" applyFont="1">
      <alignment horizontal="left" readingOrder="0" shrinkToFit="0" vertical="center" wrapText="1"/>
    </xf>
    <xf borderId="39" fillId="3" fontId="9" numFmtId="164" xfId="0" applyAlignment="1" applyBorder="1" applyFont="1" applyNumberFormat="1">
      <alignment horizontal="center" readingOrder="0" shrinkToFit="0" vertical="center" wrapText="1"/>
    </xf>
    <xf borderId="40" fillId="0" fontId="10" numFmtId="0" xfId="0" applyAlignment="1" applyBorder="1" applyFont="1">
      <alignment readingOrder="0" shrinkToFit="0" vertical="center" wrapText="1"/>
    </xf>
    <xf borderId="37" fillId="0" fontId="10" numFmtId="164" xfId="0" applyAlignment="1" applyBorder="1" applyFont="1" applyNumberFormat="1">
      <alignment horizontal="center" vertical="center"/>
    </xf>
    <xf borderId="41" fillId="0" fontId="4" numFmtId="0" xfId="0" applyAlignment="1" applyBorder="1" applyFont="1">
      <alignment horizontal="center" vertical="center"/>
    </xf>
    <xf borderId="0" fillId="0" fontId="8" numFmtId="0" xfId="0" applyAlignment="1" applyFont="1">
      <alignment horizontal="left" shrinkToFit="0" vertical="center" wrapText="1"/>
    </xf>
    <xf borderId="42" fillId="0" fontId="6" numFmtId="0" xfId="0" applyBorder="1" applyFont="1"/>
    <xf borderId="43" fillId="0" fontId="6" numFmtId="0" xfId="0" applyBorder="1" applyFont="1"/>
    <xf borderId="4" fillId="3" fontId="9" numFmtId="0" xfId="0" applyAlignment="1" applyBorder="1" applyFont="1">
      <alignment horizontal="center" readingOrder="0" shrinkToFit="0" vertical="center" wrapText="1"/>
    </xf>
    <xf borderId="44" fillId="3" fontId="10" numFmtId="0" xfId="0" applyAlignment="1" applyBorder="1" applyFont="1">
      <alignment horizontal="left" readingOrder="0" shrinkToFit="0" vertical="center" wrapText="1"/>
    </xf>
    <xf borderId="45" fillId="3" fontId="9" numFmtId="164" xfId="0" applyAlignment="1" applyBorder="1" applyFont="1" applyNumberFormat="1">
      <alignment horizontal="center" readingOrder="0" shrinkToFit="0" vertical="center" wrapText="1"/>
    </xf>
    <xf borderId="46" fillId="0" fontId="10" numFmtId="0" xfId="0" applyAlignment="1" applyBorder="1" applyFont="1">
      <alignment readingOrder="0" shrinkToFit="0" vertical="center" wrapText="1"/>
    </xf>
    <xf borderId="43" fillId="0" fontId="10" numFmtId="164" xfId="0" applyAlignment="1" applyBorder="1" applyFont="1" applyNumberFormat="1">
      <alignment horizontal="center" vertical="center"/>
    </xf>
    <xf borderId="4" fillId="0" fontId="10" numFmtId="164" xfId="0" applyAlignment="1" applyBorder="1" applyFont="1" applyNumberFormat="1">
      <alignment horizontal="center" vertical="center"/>
    </xf>
    <xf borderId="41" fillId="0" fontId="6" numFmtId="0" xfId="0" applyBorder="1" applyFont="1"/>
    <xf borderId="47" fillId="3" fontId="9" numFmtId="0" xfId="0" applyAlignment="1" applyBorder="1" applyFont="1">
      <alignment horizontal="center" readingOrder="0" shrinkToFit="0" vertical="center" wrapText="1"/>
    </xf>
    <xf borderId="4" fillId="3" fontId="11" numFmtId="0" xfId="0" applyAlignment="1" applyBorder="1" applyFont="1">
      <alignment horizontal="left" readingOrder="0" shrinkToFit="0" vertical="center" wrapText="1"/>
    </xf>
    <xf borderId="48" fillId="3" fontId="9" numFmtId="164" xfId="0" applyAlignment="1" applyBorder="1" applyFont="1" applyNumberFormat="1">
      <alignment horizontal="center" readingOrder="0" shrinkToFit="0" vertical="center" wrapText="1"/>
    </xf>
    <xf borderId="49" fillId="3" fontId="9" numFmtId="0" xfId="0" applyAlignment="1" applyBorder="1" applyFont="1">
      <alignment horizontal="center" readingOrder="0" shrinkToFit="0" vertical="center" wrapText="1"/>
    </xf>
    <xf borderId="50" fillId="3" fontId="11" numFmtId="0" xfId="0" applyAlignment="1" applyBorder="1" applyFont="1">
      <alignment horizontal="left" readingOrder="0" shrinkToFit="0" vertical="center" wrapText="1"/>
    </xf>
    <xf borderId="41" fillId="0" fontId="4" numFmtId="0" xfId="0" applyAlignment="1" applyBorder="1" applyFont="1">
      <alignment vertical="center"/>
    </xf>
    <xf borderId="51" fillId="0" fontId="6" numFmtId="0" xfId="0" applyBorder="1" applyFont="1"/>
    <xf borderId="52" fillId="5" fontId="9" numFmtId="0" xfId="0" applyAlignment="1" applyBorder="1" applyFont="1">
      <alignment horizontal="center" shrinkToFit="0" vertical="center" wrapText="1"/>
    </xf>
    <xf borderId="0" fillId="3" fontId="9" numFmtId="0" xfId="0" applyAlignment="1" applyFont="1">
      <alignment horizontal="center" readingOrder="0" shrinkToFit="0" vertical="center" wrapText="1"/>
    </xf>
    <xf borderId="53" fillId="3" fontId="11" numFmtId="0" xfId="0" applyAlignment="1" applyBorder="1" applyFont="1">
      <alignment horizontal="left" readingOrder="0" shrinkToFit="0" vertical="center" wrapText="1"/>
    </xf>
    <xf borderId="54" fillId="3" fontId="9" numFmtId="164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55" fillId="0" fontId="10" numFmtId="164" xfId="0" applyAlignment="1" applyBorder="1" applyFont="1" applyNumberFormat="1">
      <alignment horizontal="center" readingOrder="0" vertical="center"/>
    </xf>
    <xf borderId="41" fillId="0" fontId="10" numFmtId="3" xfId="0" applyAlignment="1" applyBorder="1" applyFont="1" applyNumberFormat="1">
      <alignment horizontal="center" readingOrder="0" vertical="center"/>
    </xf>
    <xf borderId="0" fillId="0" fontId="4" numFmtId="0" xfId="0" applyAlignment="1" applyFont="1">
      <alignment vertical="center"/>
    </xf>
    <xf borderId="56" fillId="5" fontId="1" numFmtId="0" xfId="0" applyBorder="1" applyFont="1"/>
    <xf borderId="57" fillId="5" fontId="1" numFmtId="0" xfId="0" applyBorder="1" applyFont="1"/>
    <xf borderId="57" fillId="5" fontId="12" numFmtId="0" xfId="0" applyAlignment="1" applyBorder="1" applyFont="1">
      <alignment horizontal="center"/>
    </xf>
    <xf borderId="58" fillId="5" fontId="1" numFmtId="0" xfId="0" applyAlignment="1" applyBorder="1" applyFont="1">
      <alignment horizontal="center" vertical="center"/>
    </xf>
    <xf borderId="59" fillId="5" fontId="9" numFmtId="164" xfId="0" applyAlignment="1" applyBorder="1" applyFont="1" applyNumberFormat="1">
      <alignment horizontal="center" shrinkToFit="0" vertical="center" wrapText="1"/>
    </xf>
    <xf borderId="17" fillId="5" fontId="1" numFmtId="0" xfId="0" applyAlignment="1" applyBorder="1" applyFont="1">
      <alignment horizontal="center" vertical="center"/>
    </xf>
    <xf borderId="60" fillId="0" fontId="6" numFmtId="0" xfId="0" applyBorder="1" applyFont="1"/>
    <xf borderId="61" fillId="5" fontId="1" numFmtId="164" xfId="0" applyAlignment="1" applyBorder="1" applyFont="1" applyNumberFormat="1">
      <alignment horizontal="left" vertical="center"/>
    </xf>
    <xf borderId="62" fillId="5" fontId="1" numFmtId="164" xfId="0" applyAlignment="1" applyBorder="1" applyFont="1" applyNumberFormat="1">
      <alignment horizontal="center" vertical="center"/>
    </xf>
    <xf borderId="63" fillId="5" fontId="1" numFmtId="0" xfId="0" applyAlignment="1" applyBorder="1" applyFont="1">
      <alignment horizontal="center" vertical="center"/>
    </xf>
    <xf borderId="64" fillId="0" fontId="6" numFmtId="0" xfId="0" applyBorder="1" applyFont="1"/>
    <xf borderId="65" fillId="5" fontId="1" numFmtId="0" xfId="0" applyAlignment="1" applyBorder="1" applyFont="1">
      <alignment horizontal="center" vertical="center"/>
    </xf>
    <xf borderId="61" fillId="3" fontId="10" numFmtId="0" xfId="0" applyAlignment="1" applyBorder="1" applyFont="1">
      <alignment shrinkToFit="0" vertical="center" wrapText="1"/>
    </xf>
    <xf borderId="45" fillId="3" fontId="9" numFmtId="164" xfId="0" applyAlignment="1" applyBorder="1" applyFont="1" applyNumberFormat="1">
      <alignment horizontal="center" shrinkToFit="0" vertical="center" wrapText="1"/>
    </xf>
    <xf borderId="40" fillId="0" fontId="10" numFmtId="0" xfId="0" applyAlignment="1" applyBorder="1" applyFont="1">
      <alignment shrinkToFit="0" vertical="center" wrapText="1"/>
    </xf>
    <xf borderId="55" fillId="0" fontId="10" numFmtId="164" xfId="0" applyAlignment="1" applyBorder="1" applyFont="1" applyNumberFormat="1">
      <alignment horizontal="left" vertical="center"/>
    </xf>
    <xf borderId="55" fillId="0" fontId="10" numFmtId="164" xfId="0" applyAlignment="1" applyBorder="1" applyFont="1" applyNumberFormat="1">
      <alignment horizontal="center" vertical="center"/>
    </xf>
    <xf borderId="66" fillId="5" fontId="11" numFmtId="0" xfId="0" applyBorder="1" applyFont="1"/>
    <xf borderId="67" fillId="5" fontId="13" numFmtId="0" xfId="0" applyBorder="1" applyFont="1"/>
    <xf borderId="63" fillId="0" fontId="9" numFmtId="164" xfId="0" applyAlignment="1" applyBorder="1" applyFont="1" applyNumberFormat="1">
      <alignment horizontal="center" shrinkToFit="0" vertical="center" wrapText="1"/>
    </xf>
    <xf borderId="19" fillId="5" fontId="10" numFmtId="0" xfId="0" applyAlignment="1" applyBorder="1" applyFont="1">
      <alignment horizontal="center" vertical="center"/>
    </xf>
    <xf borderId="68" fillId="0" fontId="6" numFmtId="0" xfId="0" applyBorder="1" applyFont="1"/>
    <xf borderId="69" fillId="5" fontId="1" numFmtId="164" xfId="0" applyAlignment="1" applyBorder="1" applyFont="1" applyNumberFormat="1">
      <alignment horizontal="left" vertical="center"/>
    </xf>
    <xf borderId="56" fillId="5" fontId="1" numFmtId="0" xfId="0" applyAlignment="1" applyBorder="1" applyFont="1">
      <alignment vertical="center"/>
    </xf>
    <xf borderId="70" fillId="0" fontId="9" numFmtId="0" xfId="0" applyAlignment="1" applyBorder="1" applyFont="1">
      <alignment horizontal="center" shrinkToFit="0" vertical="center" wrapText="1"/>
    </xf>
    <xf borderId="4" fillId="5" fontId="10" numFmtId="0" xfId="0" applyAlignment="1" applyBorder="1" applyFont="1">
      <alignment horizontal="center" shrinkToFit="0" vertical="center" wrapText="1"/>
    </xf>
    <xf borderId="10" fillId="0" fontId="10" numFmtId="164" xfId="0" applyAlignment="1" applyBorder="1" applyFont="1" applyNumberFormat="1">
      <alignment horizontal="center" vertical="center"/>
    </xf>
    <xf borderId="29" fillId="5" fontId="14" numFmtId="0" xfId="0" applyAlignment="1" applyBorder="1" applyFont="1">
      <alignment horizontal="center" vertical="center"/>
    </xf>
    <xf borderId="29" fillId="5" fontId="10" numFmtId="0" xfId="0" applyAlignment="1" applyBorder="1" applyFont="1">
      <alignment horizontal="center" vertical="center"/>
    </xf>
    <xf borderId="11" fillId="3" fontId="10" numFmtId="0" xfId="0" applyAlignment="1" applyBorder="1" applyFont="1">
      <alignment horizontal="center" readingOrder="0" vertical="center"/>
    </xf>
    <xf borderId="71" fillId="5" fontId="1" numFmtId="0" xfId="0" applyAlignment="1" applyBorder="1" applyFont="1">
      <alignment horizontal="center" shrinkToFit="0" vertical="center" wrapText="1"/>
    </xf>
    <xf borderId="35" fillId="0" fontId="1" numFmtId="164" xfId="0" applyAlignment="1" applyBorder="1" applyFont="1" applyNumberFormat="1">
      <alignment horizontal="center" vertical="center"/>
    </xf>
    <xf borderId="72" fillId="3" fontId="10" numFmtId="0" xfId="0" applyAlignment="1" applyBorder="1" applyFont="1">
      <alignment horizontal="center" readingOrder="0" shrinkToFit="0" vertical="center" wrapText="1"/>
    </xf>
    <xf borderId="73" fillId="0" fontId="6" numFmtId="0" xfId="0" applyBorder="1" applyFont="1"/>
    <xf borderId="74" fillId="0" fontId="6" numFmtId="0" xfId="0" applyBorder="1" applyFont="1"/>
    <xf borderId="75" fillId="6" fontId="1" numFmtId="0" xfId="0" applyAlignment="1" applyBorder="1" applyFill="1" applyFont="1">
      <alignment horizontal="center" readingOrder="0" shrinkToFit="0" vertical="center" wrapText="1"/>
    </xf>
    <xf borderId="76" fillId="0" fontId="6" numFmtId="0" xfId="0" applyBorder="1" applyFont="1"/>
    <xf borderId="77" fillId="0" fontId="6" numFmtId="0" xfId="0" applyBorder="1" applyFont="1"/>
    <xf borderId="53" fillId="0" fontId="6" numFmtId="0" xfId="0" applyBorder="1" applyFont="1"/>
    <xf borderId="78" fillId="0" fontId="6" numFmtId="0" xfId="0" applyBorder="1" applyFont="1"/>
    <xf borderId="79" fillId="0" fontId="6" numFmtId="0" xfId="0" applyBorder="1" applyFont="1"/>
    <xf borderId="80" fillId="0" fontId="6" numFmtId="0" xfId="0" applyBorder="1" applyFont="1"/>
    <xf borderId="81" fillId="0" fontId="6" numFmtId="0" xfId="0" applyBorder="1" applyFont="1"/>
    <xf borderId="82" fillId="6" fontId="15" numFmtId="0" xfId="0" applyAlignment="1" applyBorder="1" applyFont="1">
      <alignment horizontal="center"/>
    </xf>
    <xf borderId="82" fillId="3" fontId="2" numFmtId="0" xfId="0" applyAlignment="1" applyBorder="1" applyFont="1">
      <alignment horizontal="center" readingOrder="0"/>
    </xf>
    <xf borderId="82" fillId="3" fontId="2" numFmtId="0" xfId="0" applyAlignment="1" applyBorder="1" applyFont="1">
      <alignment readingOrder="0"/>
    </xf>
    <xf borderId="83" fillId="6" fontId="15" numFmtId="0" xfId="0" applyAlignment="1" applyBorder="1" applyFont="1">
      <alignment horizontal="center" vertical="center"/>
    </xf>
    <xf borderId="49" fillId="6" fontId="16" numFmtId="0" xfId="0" applyAlignment="1" applyBorder="1" applyFont="1">
      <alignment horizontal="center"/>
    </xf>
    <xf borderId="84" fillId="6" fontId="15" numFmtId="0" xfId="0" applyAlignment="1" applyBorder="1" applyFont="1">
      <alignment horizontal="center" vertical="center"/>
    </xf>
    <xf borderId="82" fillId="6" fontId="15" numFmtId="0" xfId="0" applyAlignment="1" applyBorder="1" applyFont="1">
      <alignment horizontal="center" vertical="center"/>
    </xf>
    <xf borderId="85" fillId="6" fontId="17" numFmtId="0" xfId="0" applyAlignment="1" applyBorder="1" applyFont="1">
      <alignment horizontal="left" shrinkToFit="0" wrapText="1"/>
    </xf>
    <xf borderId="86" fillId="0" fontId="6" numFmtId="0" xfId="0" applyBorder="1" applyFont="1"/>
    <xf borderId="4" fillId="6" fontId="15" numFmtId="0" xfId="0" applyAlignment="1" applyBorder="1" applyFont="1">
      <alignment horizontal="center"/>
    </xf>
    <xf borderId="1" fillId="3" fontId="2" numFmtId="0" xfId="0" applyAlignment="1" applyBorder="1" applyFont="1">
      <alignment readingOrder="0"/>
    </xf>
    <xf borderId="87" fillId="0" fontId="6" numFmtId="0" xfId="0" applyBorder="1" applyFont="1"/>
    <xf borderId="88" fillId="6" fontId="16" numFmtId="0" xfId="0" applyAlignment="1" applyBorder="1" applyFont="1">
      <alignment horizontal="center"/>
    </xf>
    <xf borderId="2" fillId="0" fontId="15" numFmtId="164" xfId="0" applyAlignment="1" applyBorder="1" applyFont="1" applyNumberFormat="1">
      <alignment horizontal="center" vertical="center"/>
    </xf>
    <xf borderId="4" fillId="0" fontId="15" numFmtId="164" xfId="0" applyAlignment="1" applyBorder="1" applyFont="1" applyNumberFormat="1">
      <alignment horizontal="center" vertical="center"/>
    </xf>
    <xf borderId="89" fillId="0" fontId="6" numFmtId="0" xfId="0" applyBorder="1" applyFont="1"/>
    <xf borderId="90" fillId="0" fontId="6" numFmtId="0" xfId="0" applyBorder="1" applyFont="1"/>
    <xf borderId="4" fillId="0" fontId="2" numFmtId="0" xfId="0" applyAlignment="1" applyBorder="1" applyFont="1">
      <alignment horizontal="center"/>
    </xf>
    <xf borderId="4" fillId="3" fontId="2" numFmtId="0" xfId="0" applyAlignment="1" applyBorder="1" applyFont="1">
      <alignment horizontal="center"/>
    </xf>
    <xf borderId="4" fillId="3" fontId="2" numFmtId="165" xfId="0" applyAlignment="1" applyBorder="1" applyFont="1" applyNumberFormat="1">
      <alignment horizontal="center" readingOrder="0" vertical="center"/>
    </xf>
    <xf borderId="4" fillId="3" fontId="2" numFmtId="0" xfId="0" applyAlignment="1" applyBorder="1" applyFont="1">
      <alignment vertical="center"/>
    </xf>
    <xf borderId="4" fillId="3" fontId="2" numFmtId="164" xfId="0" applyBorder="1" applyFont="1" applyNumberFormat="1"/>
    <xf borderId="4" fillId="3" fontId="2" numFmtId="0" xfId="0" applyBorder="1" applyFont="1"/>
    <xf borderId="4" fillId="3" fontId="2" numFmtId="0" xfId="0" applyAlignment="1" applyBorder="1" applyFont="1">
      <alignment horizontal="center" readingOrder="0"/>
    </xf>
    <xf borderId="4" fillId="3" fontId="2" numFmtId="0" xfId="0" applyAlignment="1" applyBorder="1" applyFont="1">
      <alignment readingOrder="0" vertical="center"/>
    </xf>
    <xf borderId="4" fillId="3" fontId="2" numFmtId="164" xfId="0" applyAlignment="1" applyBorder="1" applyFont="1" applyNumberFormat="1">
      <alignment readingOrder="0"/>
    </xf>
    <xf borderId="91" fillId="3" fontId="2" numFmtId="0" xfId="0" applyBorder="1" applyFont="1"/>
    <xf borderId="4" fillId="3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readingOrder="0"/>
    </xf>
    <xf borderId="4" fillId="3" fontId="2" numFmtId="165" xfId="0" applyAlignment="1" applyBorder="1" applyFont="1" applyNumberFormat="1">
      <alignment horizontal="center" vertical="center"/>
    </xf>
    <xf borderId="4" fillId="0" fontId="2" numFmtId="165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center"/>
    </xf>
    <xf borderId="4" fillId="0" fontId="2" numFmtId="164" xfId="0" applyBorder="1" applyFont="1" applyNumberFormat="1"/>
    <xf borderId="4" fillId="0" fontId="2" numFmtId="0" xfId="0" applyBorder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2" numFmtId="164" xfId="0" applyFont="1" applyNumberFormat="1"/>
    <xf borderId="5" fillId="3" fontId="7" numFmtId="0" xfId="0" applyAlignment="1" applyBorder="1" applyFont="1">
      <alignment horizontal="left" vertical="center"/>
    </xf>
    <xf borderId="0" fillId="0" fontId="18" numFmtId="0" xfId="0" applyAlignment="1" applyFont="1">
      <alignment horizontal="left" vertical="center"/>
    </xf>
    <xf borderId="92" fillId="5" fontId="9" numFmtId="0" xfId="0" applyAlignment="1" applyBorder="1" applyFont="1">
      <alignment horizontal="center" shrinkToFit="0" vertical="center" wrapText="1"/>
    </xf>
    <xf borderId="93" fillId="0" fontId="6" numFmtId="0" xfId="0" applyBorder="1" applyFont="1"/>
    <xf borderId="94" fillId="5" fontId="9" numFmtId="0" xfId="0" applyAlignment="1" applyBorder="1" applyFont="1">
      <alignment horizontal="center" shrinkToFit="0" vertical="center" wrapText="1"/>
    </xf>
    <xf borderId="37" fillId="0" fontId="10" numFmtId="0" xfId="0" applyAlignment="1" applyBorder="1" applyFont="1">
      <alignment horizontal="center" vertical="center"/>
    </xf>
    <xf borderId="95" fillId="0" fontId="6" numFmtId="0" xfId="0" applyBorder="1" applyFont="1"/>
    <xf borderId="96" fillId="0" fontId="10" numFmtId="0" xfId="0" applyAlignment="1" applyBorder="1" applyFont="1">
      <alignment shrinkToFit="0" vertical="center" wrapText="1"/>
    </xf>
    <xf borderId="80" fillId="0" fontId="10" numFmtId="0" xfId="0" applyAlignment="1" applyBorder="1" applyFont="1">
      <alignment shrinkToFit="0" vertical="center" wrapText="1"/>
    </xf>
    <xf borderId="90" fillId="0" fontId="10" numFmtId="0" xfId="0" applyAlignment="1" applyBorder="1" applyFont="1">
      <alignment shrinkToFit="0" vertical="center" wrapText="1"/>
    </xf>
    <xf borderId="43" fillId="0" fontId="10" numFmtId="0" xfId="0" applyAlignment="1" applyBorder="1" applyFont="1">
      <alignment horizontal="center" vertical="center"/>
    </xf>
    <xf borderId="46" fillId="0" fontId="10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center" vertical="center"/>
    </xf>
    <xf borderId="97" fillId="0" fontId="6" numFmtId="0" xfId="0" applyBorder="1" applyFont="1"/>
    <xf borderId="0" fillId="5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41" fillId="0" fontId="10" numFmtId="0" xfId="0" applyAlignment="1" applyBorder="1" applyFont="1">
      <alignment horizontal="center" vertical="center"/>
    </xf>
    <xf borderId="62" fillId="5" fontId="1" numFmtId="0" xfId="0" applyAlignment="1" applyBorder="1" applyFont="1">
      <alignment horizontal="center" vertical="center"/>
    </xf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0</xdr:row>
      <xdr:rowOff>133350</xdr:rowOff>
    </xdr:from>
    <xdr:ext cx="123825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1038225</xdr:colOff>
      <xdr:row>18</xdr:row>
      <xdr:rowOff>1343025</xdr:rowOff>
    </xdr:from>
    <xdr:ext cx="1000125" cy="6381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0</xdr:row>
      <xdr:rowOff>133350</xdr:rowOff>
    </xdr:from>
    <xdr:ext cx="123825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6</xdr:row>
      <xdr:rowOff>0</xdr:rowOff>
    </xdr:from>
    <xdr:ext cx="8239125" cy="101822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0</xdr:row>
      <xdr:rowOff>247650</xdr:rowOff>
    </xdr:from>
    <xdr:ext cx="1238250" cy="276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1.43"/>
    <col customWidth="1" min="3" max="3" width="9.43"/>
    <col customWidth="1" min="4" max="4" width="39.86"/>
    <col customWidth="1" min="5" max="6" width="13.43"/>
    <col customWidth="1" min="7" max="7" width="32.71"/>
    <col customWidth="1" min="8" max="8" width="14.0"/>
    <col customWidth="1" min="9" max="9" width="7.71"/>
    <col customWidth="1" min="10" max="10" width="8.86"/>
    <col customWidth="1" min="11" max="11" width="8.0"/>
    <col customWidth="1" min="12" max="12" width="17.14"/>
    <col customWidth="1" min="13" max="13" width="14.14"/>
    <col customWidth="1" min="14" max="29" width="8.0"/>
  </cols>
  <sheetData>
    <row r="1" ht="33.75" customHeight="1">
      <c r="A1" s="1" t="s">
        <v>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0.25" customHeight="1"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 ht="28.5" customHeight="1">
      <c r="N3" s="4" t="s">
        <v>1</v>
      </c>
      <c r="O3" s="5"/>
      <c r="P3" s="5"/>
      <c r="Q3" s="5"/>
      <c r="R3" s="5"/>
      <c r="S3" s="5"/>
      <c r="T3" s="2"/>
      <c r="U3" s="2"/>
      <c r="V3" s="2"/>
      <c r="W3" s="2"/>
      <c r="X3" s="2"/>
      <c r="Y3" s="2"/>
      <c r="Z3" s="2"/>
      <c r="AA3" s="2"/>
      <c r="AB3" s="2"/>
      <c r="AC3" s="3"/>
    </row>
    <row r="4" ht="27.75" customHeight="1">
      <c r="A4" s="6" t="s">
        <v>2</v>
      </c>
      <c r="B4" s="7"/>
      <c r="C4" s="8" t="s">
        <v>3</v>
      </c>
      <c r="D4" s="7"/>
      <c r="E4" s="9" t="s">
        <v>4</v>
      </c>
      <c r="F4" s="10" t="s">
        <v>5</v>
      </c>
      <c r="G4" s="11" t="s">
        <v>6</v>
      </c>
      <c r="H4" s="12" t="s">
        <v>7</v>
      </c>
      <c r="I4" s="13"/>
      <c r="J4" s="13"/>
      <c r="K4" s="13"/>
      <c r="L4" s="13"/>
      <c r="M4" s="14"/>
      <c r="N4" s="15" t="s">
        <v>8</v>
      </c>
      <c r="O4" s="16" t="s">
        <v>9</v>
      </c>
    </row>
    <row r="5" ht="27.75" customHeight="1">
      <c r="A5" s="17" t="s">
        <v>10</v>
      </c>
      <c r="B5" s="18"/>
      <c r="C5" s="19" t="s">
        <v>11</v>
      </c>
      <c r="D5" s="20"/>
      <c r="E5" s="20"/>
      <c r="F5" s="20"/>
      <c r="G5" s="20"/>
      <c r="H5" s="20"/>
      <c r="I5" s="20"/>
      <c r="J5" s="20"/>
      <c r="K5" s="20"/>
      <c r="L5" s="20"/>
      <c r="M5" s="21"/>
      <c r="N5" s="22"/>
    </row>
    <row r="6" ht="45.0" customHeight="1">
      <c r="A6" s="23" t="s">
        <v>12</v>
      </c>
      <c r="B6" s="24"/>
      <c r="C6" s="24"/>
      <c r="D6" s="24"/>
      <c r="E6" s="25"/>
      <c r="F6" s="26" t="s">
        <v>13</v>
      </c>
      <c r="G6" s="24"/>
      <c r="H6" s="24"/>
      <c r="I6" s="24"/>
      <c r="J6" s="24"/>
      <c r="K6" s="24"/>
      <c r="L6" s="24"/>
      <c r="M6" s="27"/>
      <c r="N6" s="5"/>
      <c r="O6" s="5"/>
      <c r="P6" s="5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3"/>
    </row>
    <row r="7" ht="15.0" customHeight="1">
      <c r="A7" s="28" t="s">
        <v>14</v>
      </c>
      <c r="B7" s="29"/>
      <c r="C7" s="30"/>
      <c r="D7" s="31" t="s">
        <v>15</v>
      </c>
      <c r="E7" s="32" t="s">
        <v>16</v>
      </c>
      <c r="F7" s="33" t="s">
        <v>17</v>
      </c>
      <c r="G7" s="34"/>
      <c r="H7" s="34"/>
      <c r="I7" s="34"/>
      <c r="J7" s="34"/>
      <c r="K7" s="35"/>
      <c r="L7" s="31" t="s">
        <v>18</v>
      </c>
      <c r="M7" s="36" t="s">
        <v>19</v>
      </c>
      <c r="N7" s="5"/>
      <c r="O7" s="5"/>
      <c r="P7" s="5"/>
      <c r="Q7" s="5"/>
      <c r="R7" s="5"/>
      <c r="S7" s="5"/>
      <c r="T7" s="2"/>
      <c r="U7" s="2"/>
      <c r="V7" s="2"/>
      <c r="W7" s="2"/>
      <c r="X7" s="2"/>
      <c r="Y7" s="2"/>
      <c r="Z7" s="2"/>
      <c r="AA7" s="2"/>
      <c r="AB7" s="2"/>
      <c r="AC7" s="3"/>
    </row>
    <row r="8" ht="21.0" customHeight="1">
      <c r="A8" s="37" t="s">
        <v>20</v>
      </c>
      <c r="B8" s="38" t="s">
        <v>21</v>
      </c>
      <c r="C8" s="38" t="s">
        <v>22</v>
      </c>
      <c r="D8" s="39"/>
      <c r="E8" s="40"/>
      <c r="F8" s="41"/>
      <c r="G8" s="42"/>
      <c r="H8" s="42"/>
      <c r="I8" s="42"/>
      <c r="J8" s="42"/>
      <c r="K8" s="43"/>
      <c r="L8" s="39"/>
      <c r="M8" s="44"/>
      <c r="N8" s="5"/>
      <c r="O8" s="5"/>
      <c r="P8" s="5"/>
      <c r="Q8" s="5"/>
      <c r="R8" s="5"/>
      <c r="S8" s="5"/>
      <c r="T8" s="2"/>
      <c r="U8" s="2"/>
      <c r="V8" s="2"/>
      <c r="W8" s="2"/>
      <c r="X8" s="2"/>
      <c r="Y8" s="2"/>
      <c r="Z8" s="2"/>
      <c r="AA8" s="2"/>
      <c r="AB8" s="2"/>
      <c r="AC8" s="3"/>
    </row>
    <row r="9" ht="93.0" customHeight="1">
      <c r="A9" s="45" t="s">
        <v>23</v>
      </c>
      <c r="B9" s="46" t="s">
        <v>24</v>
      </c>
      <c r="C9" s="47" t="s">
        <v>25</v>
      </c>
      <c r="D9" s="48" t="s">
        <v>26</v>
      </c>
      <c r="E9" s="49">
        <v>450000.0</v>
      </c>
      <c r="F9" s="50" t="s">
        <v>27</v>
      </c>
      <c r="G9" s="29"/>
      <c r="H9" s="29"/>
      <c r="I9" s="29"/>
      <c r="J9" s="29"/>
      <c r="K9" s="30"/>
      <c r="L9" s="51">
        <f>SUMIF('활동비지출일별내역'!C$7:C$168,'결과정산보고서'!C9,'활동비지출일별내역'!G$7:G$168)</f>
        <v>359036</v>
      </c>
      <c r="M9" s="51">
        <f t="shared" ref="M9:M13" si="1">E9-L9</f>
        <v>90964</v>
      </c>
      <c r="N9" s="52" t="s">
        <v>8</v>
      </c>
      <c r="O9" s="53" t="s">
        <v>28</v>
      </c>
    </row>
    <row r="10" ht="55.5" customHeight="1">
      <c r="A10" s="54"/>
      <c r="B10" s="55"/>
      <c r="C10" s="56" t="s">
        <v>29</v>
      </c>
      <c r="D10" s="57" t="s">
        <v>30</v>
      </c>
      <c r="E10" s="58">
        <v>500000.0</v>
      </c>
      <c r="F10" s="59" t="s">
        <v>31</v>
      </c>
      <c r="G10" s="13"/>
      <c r="H10" s="13"/>
      <c r="I10" s="13"/>
      <c r="J10" s="13"/>
      <c r="K10" s="7"/>
      <c r="L10" s="60">
        <f>SUMIF('활동비지출일별내역'!C$7:C$168,'결과정산보고서'!C10,'활동비지출일별내역'!G$7:G$168)</f>
        <v>200000</v>
      </c>
      <c r="M10" s="61">
        <f t="shared" si="1"/>
        <v>300000</v>
      </c>
      <c r="N10" s="62"/>
    </row>
    <row r="11" ht="152.25" customHeight="1">
      <c r="A11" s="54"/>
      <c r="B11" s="63" t="s">
        <v>32</v>
      </c>
      <c r="C11" s="56" t="s">
        <v>33</v>
      </c>
      <c r="D11" s="64" t="s">
        <v>34</v>
      </c>
      <c r="E11" s="65">
        <v>1200000.0</v>
      </c>
      <c r="F11" s="59" t="s">
        <v>35</v>
      </c>
      <c r="G11" s="13"/>
      <c r="H11" s="13"/>
      <c r="I11" s="13"/>
      <c r="J11" s="13"/>
      <c r="K11" s="7"/>
      <c r="L11" s="60">
        <f>SUMIF('활동비지출일별내역'!C$7:C$168,'결과정산보고서'!C11,'활동비지출일별내역'!G$7:G$168)</f>
        <v>1000000</v>
      </c>
      <c r="M11" s="61">
        <f t="shared" si="1"/>
        <v>200000</v>
      </c>
      <c r="N11" s="62"/>
    </row>
    <row r="12" ht="113.25" customHeight="1">
      <c r="A12" s="54"/>
      <c r="B12" s="63" t="s">
        <v>36</v>
      </c>
      <c r="C12" s="66" t="s">
        <v>37</v>
      </c>
      <c r="D12" s="67" t="s">
        <v>38</v>
      </c>
      <c r="E12" s="58">
        <v>500000.0</v>
      </c>
      <c r="F12" s="59" t="s">
        <v>39</v>
      </c>
      <c r="G12" s="13"/>
      <c r="H12" s="13"/>
      <c r="I12" s="13"/>
      <c r="J12" s="13"/>
      <c r="K12" s="7"/>
      <c r="L12" s="60">
        <f>SUMIF('활동비지출일별내역'!C$7:C$168,'결과정산보고서'!C12,'활동비지출일별내역'!G$7:G$168)</f>
        <v>467725</v>
      </c>
      <c r="M12" s="61">
        <f t="shared" si="1"/>
        <v>32275</v>
      </c>
      <c r="N12" s="68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64.5" customHeight="1">
      <c r="A13" s="69"/>
      <c r="B13" s="55"/>
      <c r="C13" s="66" t="s">
        <v>40</v>
      </c>
      <c r="D13" s="67" t="s">
        <v>41</v>
      </c>
      <c r="E13" s="58">
        <v>350000.0</v>
      </c>
      <c r="F13" s="59" t="s">
        <v>42</v>
      </c>
      <c r="G13" s="13"/>
      <c r="H13" s="13"/>
      <c r="I13" s="13"/>
      <c r="J13" s="13"/>
      <c r="K13" s="7"/>
      <c r="L13" s="60">
        <f>SUMIF('활동비지출일별내역'!C$7:C$168,'결과정산보고서'!C13,'활동비지출일별내역'!G$7:G$168)</f>
        <v>319200</v>
      </c>
      <c r="M13" s="61">
        <f t="shared" si="1"/>
        <v>30800</v>
      </c>
      <c r="N13" s="68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81.0" customHeight="1">
      <c r="A14" s="70"/>
      <c r="B14" s="71" t="s">
        <v>43</v>
      </c>
      <c r="C14" s="71" t="s">
        <v>43</v>
      </c>
      <c r="D14" s="72" t="s">
        <v>44</v>
      </c>
      <c r="E14" s="73"/>
      <c r="F14" s="74" t="s">
        <v>45</v>
      </c>
      <c r="L14" s="75">
        <v>60720.0</v>
      </c>
      <c r="M14" s="76">
        <v>60720.0</v>
      </c>
      <c r="N14" s="77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0.25" customHeight="1">
      <c r="A15" s="78"/>
      <c r="B15" s="79"/>
      <c r="C15" s="80" t="s">
        <v>46</v>
      </c>
      <c r="D15" s="81" t="s">
        <v>47</v>
      </c>
      <c r="E15" s="82">
        <f>SUM(E7:E13)</f>
        <v>3000000</v>
      </c>
      <c r="F15" s="83" t="s">
        <v>47</v>
      </c>
      <c r="G15" s="24"/>
      <c r="H15" s="24"/>
      <c r="I15" s="24"/>
      <c r="J15" s="24"/>
      <c r="K15" s="84"/>
      <c r="L15" s="85">
        <f>SUM(L9:L14)</f>
        <v>2406681</v>
      </c>
      <c r="M15" s="86">
        <f t="shared" ref="M15:M17" si="2">E15-L15</f>
        <v>593319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36.0" customHeight="1">
      <c r="A16" s="87" t="s">
        <v>48</v>
      </c>
      <c r="B16" s="88"/>
      <c r="C16" s="89" t="s">
        <v>48</v>
      </c>
      <c r="D16" s="90"/>
      <c r="E16" s="91"/>
      <c r="F16" s="92"/>
      <c r="G16" s="29"/>
      <c r="H16" s="29"/>
      <c r="I16" s="29"/>
      <c r="J16" s="29"/>
      <c r="K16" s="30"/>
      <c r="L16" s="93"/>
      <c r="M16" s="94">
        <f t="shared" si="2"/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21.0" customHeight="1">
      <c r="A17" s="95"/>
      <c r="B17" s="96" t="s">
        <v>46</v>
      </c>
      <c r="C17" s="83" t="s">
        <v>49</v>
      </c>
      <c r="D17" s="27"/>
      <c r="E17" s="97">
        <f>SUM(E9:E16)-E15</f>
        <v>3000000</v>
      </c>
      <c r="F17" s="98" t="s">
        <v>50</v>
      </c>
      <c r="G17" s="29"/>
      <c r="H17" s="29"/>
      <c r="I17" s="29"/>
      <c r="J17" s="29"/>
      <c r="K17" s="99"/>
      <c r="L17" s="100">
        <f>SUM(L16,L15)</f>
        <v>2406681</v>
      </c>
      <c r="M17" s="86">
        <f t="shared" si="2"/>
        <v>593319</v>
      </c>
      <c r="N17" s="15" t="s">
        <v>8</v>
      </c>
      <c r="O17" s="53" t="s">
        <v>51</v>
      </c>
    </row>
    <row r="18" ht="33.0" customHeight="1">
      <c r="A18" s="101"/>
      <c r="B18" s="83" t="s">
        <v>52</v>
      </c>
      <c r="C18" s="24"/>
      <c r="D18" s="88"/>
      <c r="E18" s="102">
        <f>SUMIF('활동비지출일별내역'!C6:C168,"이자",'활동비지출일별내역'!G6:G168)+SUMIF('활동비지출일별내역'!C6:C168,"캐시백",'활동비지출일별내역'!G6:G168)</f>
        <v>13960</v>
      </c>
      <c r="F18" s="103" t="s">
        <v>53</v>
      </c>
      <c r="G18" s="104">
        <f>IF(M18&lt;=10000,0,M18)</f>
        <v>607279</v>
      </c>
      <c r="H18" s="105" t="str">
        <f>IF(G18&gt;0,"환급요망","환급불필요")</f>
        <v>환급요망</v>
      </c>
      <c r="I18" s="106" t="s">
        <v>54</v>
      </c>
      <c r="J18" s="107" t="s">
        <v>55</v>
      </c>
      <c r="K18" s="21"/>
      <c r="L18" s="108" t="s">
        <v>56</v>
      </c>
      <c r="M18" s="109">
        <f>M17+E18</f>
        <v>607279</v>
      </c>
      <c r="N18" s="22"/>
    </row>
    <row r="19" ht="233.25" customHeight="1">
      <c r="A19" s="110" t="s">
        <v>57</v>
      </c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2"/>
      <c r="N19" s="15" t="s">
        <v>8</v>
      </c>
      <c r="O19" s="53" t="s">
        <v>58</v>
      </c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22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6.5" customHeight="1">
      <c r="A40" s="3"/>
      <c r="B40" s="3"/>
      <c r="C40" s="3"/>
      <c r="D40" s="3" t="s">
        <v>59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6.5" customHeight="1">
      <c r="A41" s="3"/>
      <c r="B41" s="3"/>
      <c r="C41" s="3"/>
      <c r="D41" s="3" t="s">
        <v>60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6.5" customHeight="1">
      <c r="A42" s="3"/>
      <c r="B42" s="3"/>
      <c r="C42" s="3"/>
      <c r="D42" s="3" t="s">
        <v>61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</sheetData>
  <mergeCells count="39">
    <mergeCell ref="A1:M3"/>
    <mergeCell ref="A4:B4"/>
    <mergeCell ref="C4:D4"/>
    <mergeCell ref="H4:M4"/>
    <mergeCell ref="N4:N5"/>
    <mergeCell ref="O4:AC5"/>
    <mergeCell ref="C5:M5"/>
    <mergeCell ref="L7:L8"/>
    <mergeCell ref="M7:M8"/>
    <mergeCell ref="N9:N11"/>
    <mergeCell ref="O9:AC11"/>
    <mergeCell ref="B12:B13"/>
    <mergeCell ref="B9:B10"/>
    <mergeCell ref="A9:A13"/>
    <mergeCell ref="A16:B16"/>
    <mergeCell ref="A5:B5"/>
    <mergeCell ref="A6:E6"/>
    <mergeCell ref="F6:M6"/>
    <mergeCell ref="A7:C7"/>
    <mergeCell ref="D7:D8"/>
    <mergeCell ref="E7:E8"/>
    <mergeCell ref="F10:K10"/>
    <mergeCell ref="F7:K8"/>
    <mergeCell ref="F9:K9"/>
    <mergeCell ref="F11:K11"/>
    <mergeCell ref="N17:N18"/>
    <mergeCell ref="O17:AC18"/>
    <mergeCell ref="O19:AC20"/>
    <mergeCell ref="F17:K17"/>
    <mergeCell ref="J18:K18"/>
    <mergeCell ref="A19:M19"/>
    <mergeCell ref="N19:N20"/>
    <mergeCell ref="F12:K12"/>
    <mergeCell ref="F13:K13"/>
    <mergeCell ref="F15:K15"/>
    <mergeCell ref="C17:D17"/>
    <mergeCell ref="B18:D18"/>
    <mergeCell ref="F16:K16"/>
    <mergeCell ref="F14:K14"/>
  </mergeCells>
  <printOptions/>
  <pageMargins bottom="0.3937007874015748" footer="0.0" header="0.0" left="0.3937007874015748" right="0.3937007874015748" top="0.3937007874015748"/>
  <pageSetup fitToWidth="0" paperSize="9" orientation="portrait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9.0"/>
    <col customWidth="1" min="2" max="2" width="24.57"/>
    <col customWidth="1" min="3" max="3" width="22.43"/>
    <col customWidth="1" min="4" max="4" width="11.0"/>
    <col customWidth="1" min="5" max="5" width="74.57"/>
    <col customWidth="1" min="6" max="6" width="19.0"/>
    <col customWidth="1" min="7" max="7" width="17.86"/>
    <col customWidth="1" min="8" max="8" width="13.86"/>
    <col customWidth="1" min="9" max="9" width="12.43"/>
    <col customWidth="1" min="10" max="10" width="15.43"/>
    <col customWidth="1" min="11" max="25" width="9.14"/>
  </cols>
  <sheetData>
    <row r="1" ht="21.75" customHeight="1">
      <c r="A1" s="113" t="s">
        <v>62</v>
      </c>
      <c r="B1" s="114"/>
      <c r="C1" s="114"/>
      <c r="D1" s="114"/>
      <c r="E1" s="114"/>
      <c r="F1" s="114"/>
      <c r="G1" s="114"/>
      <c r="H1" s="114"/>
      <c r="I1" s="114"/>
      <c r="J1" s="115"/>
    </row>
    <row r="2" ht="15.0" customHeight="1">
      <c r="A2" s="116"/>
      <c r="J2" s="117"/>
    </row>
    <row r="3" ht="39.75" customHeight="1">
      <c r="A3" s="118"/>
      <c r="B3" s="119"/>
      <c r="C3" s="119"/>
      <c r="D3" s="119"/>
      <c r="E3" s="119"/>
      <c r="F3" s="119"/>
      <c r="G3" s="119"/>
      <c r="H3" s="119"/>
      <c r="I3" s="119"/>
      <c r="J3" s="120"/>
    </row>
    <row r="4" ht="12.0" customHeight="1">
      <c r="A4" s="121" t="s">
        <v>63</v>
      </c>
      <c r="B4" s="122" t="s">
        <v>3</v>
      </c>
      <c r="C4" s="121" t="s">
        <v>64</v>
      </c>
      <c r="D4" s="123" t="s">
        <v>65</v>
      </c>
      <c r="E4" s="124" t="s">
        <v>66</v>
      </c>
      <c r="F4" s="125"/>
      <c r="G4" s="126" t="s">
        <v>67</v>
      </c>
      <c r="H4" s="127" t="s">
        <v>68</v>
      </c>
      <c r="I4" s="128" t="s">
        <v>69</v>
      </c>
      <c r="J4" s="129"/>
    </row>
    <row r="5" ht="12.0" customHeight="1">
      <c r="A5" s="130" t="s">
        <v>70</v>
      </c>
      <c r="B5" s="131" t="s">
        <v>71</v>
      </c>
      <c r="C5" s="13"/>
      <c r="D5" s="7"/>
      <c r="E5" s="132"/>
      <c r="F5" s="133">
        <v>0.0</v>
      </c>
      <c r="G5" s="134">
        <f>SUMIF(B7:B169,"&lt;&gt;"&amp;"수입",G7:G222)</f>
        <v>2406681</v>
      </c>
      <c r="H5" s="135">
        <f>H169</f>
        <v>607279</v>
      </c>
      <c r="I5" s="136"/>
      <c r="J5" s="137"/>
    </row>
    <row r="6" ht="15.75" customHeight="1">
      <c r="A6" s="130" t="s">
        <v>72</v>
      </c>
      <c r="B6" s="130" t="s">
        <v>20</v>
      </c>
      <c r="C6" s="130" t="s">
        <v>22</v>
      </c>
      <c r="D6" s="130" t="s">
        <v>73</v>
      </c>
      <c r="E6" s="130" t="s">
        <v>15</v>
      </c>
      <c r="F6" s="121" t="s">
        <v>74</v>
      </c>
      <c r="G6" s="130" t="s">
        <v>75</v>
      </c>
      <c r="H6" s="130" t="s">
        <v>76</v>
      </c>
      <c r="I6" s="130" t="s">
        <v>14</v>
      </c>
      <c r="J6" s="130" t="s">
        <v>77</v>
      </c>
    </row>
    <row r="7" ht="19.5" customHeight="1">
      <c r="A7" s="138">
        <v>1.0</v>
      </c>
      <c r="B7" s="139" t="s">
        <v>46</v>
      </c>
      <c r="C7" s="139" t="s">
        <v>61</v>
      </c>
      <c r="D7" s="140">
        <v>45379.0</v>
      </c>
      <c r="E7" s="141" t="s">
        <v>78</v>
      </c>
      <c r="F7" s="139" t="s">
        <v>79</v>
      </c>
      <c r="G7" s="142">
        <v>3000000.0</v>
      </c>
      <c r="H7" s="142">
        <f>F5+IF('활동비지출일별내역'!$B7="수입",'활동비지출일별내역'!$G7,(-1*'활동비지출일별내역'!$G7))</f>
        <v>3000000</v>
      </c>
      <c r="I7" s="139" t="s">
        <v>80</v>
      </c>
      <c r="J7" s="143"/>
    </row>
    <row r="8" ht="19.5" customHeight="1">
      <c r="A8" s="138">
        <v>2.0</v>
      </c>
      <c r="B8" s="139" t="s">
        <v>46</v>
      </c>
      <c r="C8" s="144" t="s">
        <v>59</v>
      </c>
      <c r="D8" s="140">
        <v>45380.0</v>
      </c>
      <c r="E8" s="145" t="s">
        <v>81</v>
      </c>
      <c r="F8" s="144" t="s">
        <v>65</v>
      </c>
      <c r="G8" s="146">
        <v>127.0</v>
      </c>
      <c r="H8" s="142">
        <f>G7+IF('활동비지출일별내역'!$B8="수입",'활동비지출일별내역'!$G8,(-1*'활동비지출일별내역'!$G8))</f>
        <v>3000127</v>
      </c>
      <c r="I8" s="139" t="s">
        <v>80</v>
      </c>
      <c r="J8" s="143"/>
    </row>
    <row r="9" ht="19.5" customHeight="1">
      <c r="A9" s="138">
        <v>3.0</v>
      </c>
      <c r="B9" s="139" t="s">
        <v>46</v>
      </c>
      <c r="C9" s="144" t="s">
        <v>59</v>
      </c>
      <c r="D9" s="140">
        <v>45381.0</v>
      </c>
      <c r="E9" s="145" t="s">
        <v>81</v>
      </c>
      <c r="F9" s="144" t="s">
        <v>65</v>
      </c>
      <c r="G9" s="146">
        <v>127.0</v>
      </c>
      <c r="H9" s="142">
        <f>H8+IF('활동비지출일별내역'!$B9="수입",'활동비지출일별내역'!$G9,(-1*'활동비지출일별내역'!$G9))</f>
        <v>3000254</v>
      </c>
      <c r="I9" s="139" t="s">
        <v>80</v>
      </c>
      <c r="J9" s="139"/>
    </row>
    <row r="10" ht="19.5" customHeight="1">
      <c r="A10" s="138">
        <v>4.0</v>
      </c>
      <c r="B10" s="139" t="s">
        <v>46</v>
      </c>
      <c r="C10" s="144" t="s">
        <v>59</v>
      </c>
      <c r="D10" s="140">
        <v>45382.0</v>
      </c>
      <c r="E10" s="145" t="s">
        <v>81</v>
      </c>
      <c r="F10" s="144" t="s">
        <v>65</v>
      </c>
      <c r="G10" s="146">
        <v>127.0</v>
      </c>
      <c r="H10" s="142">
        <f>H9+IF('활동비지출일별내역'!$B10="수입",'활동비지출일별내역'!$G10,(-1*'활동비지출일별내역'!$G10))</f>
        <v>3000381</v>
      </c>
      <c r="I10" s="139" t="s">
        <v>80</v>
      </c>
      <c r="J10" s="139"/>
    </row>
    <row r="11" ht="19.5" customHeight="1">
      <c r="A11" s="138">
        <v>5.0</v>
      </c>
      <c r="B11" s="139" t="s">
        <v>46</v>
      </c>
      <c r="C11" s="144" t="s">
        <v>59</v>
      </c>
      <c r="D11" s="140">
        <v>45383.0</v>
      </c>
      <c r="E11" s="145" t="s">
        <v>81</v>
      </c>
      <c r="F11" s="144" t="s">
        <v>65</v>
      </c>
      <c r="G11" s="146">
        <v>127.0</v>
      </c>
      <c r="H11" s="142">
        <f>H10+IF('활동비지출일별내역'!$B11="수입",'활동비지출일별내역'!$G11,(-1*'활동비지출일별내역'!$G11))</f>
        <v>3000508</v>
      </c>
      <c r="I11" s="139" t="s">
        <v>80</v>
      </c>
      <c r="J11" s="139"/>
    </row>
    <row r="12" ht="19.5" customHeight="1">
      <c r="A12" s="138">
        <v>6.0</v>
      </c>
      <c r="B12" s="139" t="s">
        <v>46</v>
      </c>
      <c r="C12" s="144" t="s">
        <v>59</v>
      </c>
      <c r="D12" s="140">
        <v>45384.0</v>
      </c>
      <c r="E12" s="145" t="s">
        <v>81</v>
      </c>
      <c r="F12" s="144" t="s">
        <v>65</v>
      </c>
      <c r="G12" s="146">
        <v>127.0</v>
      </c>
      <c r="H12" s="142">
        <f>H11+IF('활동비지출일별내역'!$B12="수입",'활동비지출일별내역'!$G12,(-1*'활동비지출일별내역'!$G12))</f>
        <v>3000635</v>
      </c>
      <c r="I12" s="139" t="s">
        <v>80</v>
      </c>
      <c r="J12" s="139"/>
    </row>
    <row r="13" ht="19.5" customHeight="1">
      <c r="A13" s="138">
        <v>7.0</v>
      </c>
      <c r="B13" s="139" t="s">
        <v>46</v>
      </c>
      <c r="C13" s="144" t="s">
        <v>59</v>
      </c>
      <c r="D13" s="140">
        <v>45385.0</v>
      </c>
      <c r="E13" s="145" t="s">
        <v>81</v>
      </c>
      <c r="F13" s="144" t="s">
        <v>65</v>
      </c>
      <c r="G13" s="146">
        <v>127.0</v>
      </c>
      <c r="H13" s="142">
        <f>H12+IF('활동비지출일별내역'!$B13="수입",'활동비지출일별내역'!$G13,(-1*'활동비지출일별내역'!$G13))</f>
        <v>3000762</v>
      </c>
      <c r="I13" s="139" t="s">
        <v>80</v>
      </c>
      <c r="J13" s="139"/>
    </row>
    <row r="14" ht="19.5" customHeight="1">
      <c r="A14" s="138">
        <v>8.0</v>
      </c>
      <c r="B14" s="139" t="s">
        <v>46</v>
      </c>
      <c r="C14" s="144" t="s">
        <v>59</v>
      </c>
      <c r="D14" s="140">
        <v>45386.0</v>
      </c>
      <c r="E14" s="145" t="s">
        <v>81</v>
      </c>
      <c r="F14" s="144" t="s">
        <v>65</v>
      </c>
      <c r="G14" s="146">
        <v>127.0</v>
      </c>
      <c r="H14" s="142">
        <f>H13+IF('활동비지출일별내역'!$B14="수입",'활동비지출일별내역'!$G14,(-1*'활동비지출일별내역'!$G14))</f>
        <v>3000889</v>
      </c>
      <c r="I14" s="139" t="s">
        <v>80</v>
      </c>
      <c r="J14" s="143"/>
    </row>
    <row r="15" ht="19.5" customHeight="1">
      <c r="A15" s="138">
        <v>9.0</v>
      </c>
      <c r="B15" s="139" t="s">
        <v>46</v>
      </c>
      <c r="C15" s="144" t="s">
        <v>59</v>
      </c>
      <c r="D15" s="140">
        <v>45387.0</v>
      </c>
      <c r="E15" s="145" t="s">
        <v>81</v>
      </c>
      <c r="F15" s="144" t="s">
        <v>65</v>
      </c>
      <c r="G15" s="146">
        <v>127.0</v>
      </c>
      <c r="H15" s="142">
        <f>H14+IF('활동비지출일별내역'!$B15="수입",'활동비지출일별내역'!$G15,(-1*'활동비지출일별내역'!$G15))</f>
        <v>3001016</v>
      </c>
      <c r="I15" s="139" t="s">
        <v>80</v>
      </c>
      <c r="J15" s="143"/>
    </row>
    <row r="16" ht="19.5" customHeight="1">
      <c r="A16" s="138">
        <v>10.0</v>
      </c>
      <c r="B16" s="139" t="s">
        <v>46</v>
      </c>
      <c r="C16" s="144" t="s">
        <v>59</v>
      </c>
      <c r="D16" s="140">
        <v>45388.0</v>
      </c>
      <c r="E16" s="145" t="s">
        <v>81</v>
      </c>
      <c r="F16" s="144" t="s">
        <v>65</v>
      </c>
      <c r="G16" s="146">
        <v>127.0</v>
      </c>
      <c r="H16" s="142">
        <f>H15+IF('활동비지출일별내역'!$B16="수입",'활동비지출일별내역'!$G16,(-1*'활동비지출일별내역'!$G16))</f>
        <v>3001143</v>
      </c>
      <c r="I16" s="139" t="s">
        <v>80</v>
      </c>
      <c r="J16" s="143"/>
    </row>
    <row r="17" ht="19.5" customHeight="1">
      <c r="A17" s="138">
        <v>11.0</v>
      </c>
      <c r="B17" s="139" t="s">
        <v>46</v>
      </c>
      <c r="C17" s="144" t="s">
        <v>59</v>
      </c>
      <c r="D17" s="140">
        <v>45389.0</v>
      </c>
      <c r="E17" s="145" t="s">
        <v>81</v>
      </c>
      <c r="F17" s="144" t="s">
        <v>65</v>
      </c>
      <c r="G17" s="146">
        <v>128.0</v>
      </c>
      <c r="H17" s="142">
        <f>H16+IF('활동비지출일별내역'!$B17="수입",'활동비지출일별내역'!$G17,(-1*'활동비지출일별내역'!$G17))</f>
        <v>3001271</v>
      </c>
      <c r="I17" s="139" t="s">
        <v>80</v>
      </c>
      <c r="J17" s="143"/>
    </row>
    <row r="18" ht="19.5" customHeight="1">
      <c r="A18" s="138">
        <v>12.0</v>
      </c>
      <c r="B18" s="139" t="s">
        <v>46</v>
      </c>
      <c r="C18" s="144" t="s">
        <v>59</v>
      </c>
      <c r="D18" s="140">
        <v>45390.0</v>
      </c>
      <c r="E18" s="145" t="s">
        <v>81</v>
      </c>
      <c r="F18" s="144" t="s">
        <v>65</v>
      </c>
      <c r="G18" s="146">
        <v>128.0</v>
      </c>
      <c r="H18" s="142">
        <f>H17+IF('활동비지출일별내역'!$B18="수입",'활동비지출일별내역'!$G18,(-1*'활동비지출일별내역'!$G18))</f>
        <v>3001399</v>
      </c>
      <c r="I18" s="139" t="s">
        <v>80</v>
      </c>
      <c r="J18" s="143"/>
    </row>
    <row r="19" ht="19.5" customHeight="1">
      <c r="A19" s="138">
        <v>13.0</v>
      </c>
      <c r="B19" s="139" t="s">
        <v>46</v>
      </c>
      <c r="C19" s="144" t="s">
        <v>59</v>
      </c>
      <c r="D19" s="140">
        <v>45391.0</v>
      </c>
      <c r="E19" s="145" t="s">
        <v>81</v>
      </c>
      <c r="F19" s="144" t="s">
        <v>65</v>
      </c>
      <c r="G19" s="146">
        <v>128.0</v>
      </c>
      <c r="H19" s="142">
        <f>H18+IF('활동비지출일별내역'!$B19="수입",'활동비지출일별내역'!$G19,(-1*'활동비지출일별내역'!$G19))</f>
        <v>3001527</v>
      </c>
      <c r="I19" s="139" t="s">
        <v>80</v>
      </c>
      <c r="J19" s="143"/>
    </row>
    <row r="20" ht="19.5" customHeight="1">
      <c r="A20" s="138">
        <v>14.0</v>
      </c>
      <c r="B20" s="139" t="s">
        <v>46</v>
      </c>
      <c r="C20" s="144" t="s">
        <v>59</v>
      </c>
      <c r="D20" s="140">
        <v>45392.0</v>
      </c>
      <c r="E20" s="145" t="s">
        <v>81</v>
      </c>
      <c r="F20" s="144" t="s">
        <v>65</v>
      </c>
      <c r="G20" s="146">
        <v>128.0</v>
      </c>
      <c r="H20" s="142">
        <f>H19+IF('활동비지출일별내역'!$B20="수입",'활동비지출일별내역'!$G20,(-1*'활동비지출일별내역'!$G20))</f>
        <v>3001655</v>
      </c>
      <c r="I20" s="139" t="s">
        <v>80</v>
      </c>
      <c r="J20" s="143"/>
    </row>
    <row r="21" ht="19.5" customHeight="1">
      <c r="A21" s="138">
        <v>15.0</v>
      </c>
      <c r="B21" s="139" t="s">
        <v>46</v>
      </c>
      <c r="C21" s="144" t="s">
        <v>59</v>
      </c>
      <c r="D21" s="140">
        <v>45393.0</v>
      </c>
      <c r="E21" s="145" t="s">
        <v>81</v>
      </c>
      <c r="F21" s="144" t="s">
        <v>65</v>
      </c>
      <c r="G21" s="146">
        <v>128.0</v>
      </c>
      <c r="H21" s="142">
        <f>H20+IF('활동비지출일별내역'!$B21="수입",'활동비지출일별내역'!$G21,(-1*'활동비지출일별내역'!$G21))</f>
        <v>3001783</v>
      </c>
      <c r="I21" s="139" t="s">
        <v>80</v>
      </c>
      <c r="J21" s="139"/>
    </row>
    <row r="22" ht="19.5" customHeight="1">
      <c r="A22" s="138">
        <v>16.0</v>
      </c>
      <c r="B22" s="139" t="s">
        <v>46</v>
      </c>
      <c r="C22" s="144" t="s">
        <v>59</v>
      </c>
      <c r="D22" s="140">
        <v>45394.0</v>
      </c>
      <c r="E22" s="145" t="s">
        <v>81</v>
      </c>
      <c r="F22" s="144" t="s">
        <v>65</v>
      </c>
      <c r="G22" s="146">
        <v>128.0</v>
      </c>
      <c r="H22" s="142">
        <f>H21+IF('활동비지출일별내역'!$B22="수입",'활동비지출일별내역'!$G22,(-1*'활동비지출일별내역'!$G22))</f>
        <v>3001911</v>
      </c>
      <c r="I22" s="139" t="s">
        <v>80</v>
      </c>
      <c r="J22" s="139"/>
    </row>
    <row r="23" ht="19.5" customHeight="1">
      <c r="A23" s="138">
        <v>17.0</v>
      </c>
      <c r="B23" s="139" t="s">
        <v>46</v>
      </c>
      <c r="C23" s="144" t="s">
        <v>59</v>
      </c>
      <c r="D23" s="140">
        <v>45395.0</v>
      </c>
      <c r="E23" s="145" t="s">
        <v>81</v>
      </c>
      <c r="F23" s="144" t="s">
        <v>65</v>
      </c>
      <c r="G23" s="146">
        <v>128.0</v>
      </c>
      <c r="H23" s="142">
        <f>H22+IF('활동비지출일별내역'!$B23="수입",'활동비지출일별내역'!$G23,(-1*'활동비지출일별내역'!$G23))</f>
        <v>3002039</v>
      </c>
      <c r="I23" s="139" t="s">
        <v>80</v>
      </c>
      <c r="J23" s="139"/>
    </row>
    <row r="24" ht="19.5" customHeight="1">
      <c r="A24" s="138">
        <v>18.0</v>
      </c>
      <c r="B24" s="139" t="s">
        <v>46</v>
      </c>
      <c r="C24" s="144" t="s">
        <v>59</v>
      </c>
      <c r="D24" s="140">
        <v>45396.0</v>
      </c>
      <c r="E24" s="145" t="s">
        <v>81</v>
      </c>
      <c r="F24" s="144" t="s">
        <v>65</v>
      </c>
      <c r="G24" s="146">
        <v>128.0</v>
      </c>
      <c r="H24" s="142">
        <f>H23+IF('활동비지출일별내역'!$B24="수입",'활동비지출일별내역'!$G24,(-1*'활동비지출일별내역'!$G24))</f>
        <v>3002167</v>
      </c>
      <c r="I24" s="139" t="s">
        <v>80</v>
      </c>
      <c r="J24" s="139"/>
    </row>
    <row r="25" ht="19.5" customHeight="1">
      <c r="A25" s="138">
        <v>19.0</v>
      </c>
      <c r="B25" s="139" t="s">
        <v>46</v>
      </c>
      <c r="C25" s="144" t="s">
        <v>59</v>
      </c>
      <c r="D25" s="140">
        <v>45397.0</v>
      </c>
      <c r="E25" s="145" t="s">
        <v>81</v>
      </c>
      <c r="F25" s="144" t="s">
        <v>65</v>
      </c>
      <c r="G25" s="146">
        <v>128.0</v>
      </c>
      <c r="H25" s="142">
        <f>H24+IF('활동비지출일별내역'!$B25="수입",'활동비지출일별내역'!$G25,(-1*'활동비지출일별내역'!$G25))</f>
        <v>3002295</v>
      </c>
      <c r="I25" s="139" t="s">
        <v>80</v>
      </c>
      <c r="J25" s="143"/>
    </row>
    <row r="26" ht="19.5" customHeight="1">
      <c r="A26" s="138">
        <v>20.0</v>
      </c>
      <c r="B26" s="139" t="s">
        <v>46</v>
      </c>
      <c r="C26" s="144" t="s">
        <v>59</v>
      </c>
      <c r="D26" s="140">
        <v>45398.0</v>
      </c>
      <c r="E26" s="145" t="s">
        <v>81</v>
      </c>
      <c r="F26" s="144" t="s">
        <v>65</v>
      </c>
      <c r="G26" s="146">
        <v>128.0</v>
      </c>
      <c r="H26" s="142">
        <f>H25+IF('활동비지출일별내역'!$B26="수입",'활동비지출일별내역'!$G26,(-1*'활동비지출일별내역'!$G26))</f>
        <v>3002423</v>
      </c>
      <c r="I26" s="139" t="s">
        <v>80</v>
      </c>
      <c r="J26" s="143"/>
    </row>
    <row r="27" ht="19.5" customHeight="1">
      <c r="A27" s="138">
        <v>21.0</v>
      </c>
      <c r="B27" s="139" t="s">
        <v>46</v>
      </c>
      <c r="C27" s="144" t="s">
        <v>59</v>
      </c>
      <c r="D27" s="140">
        <v>45399.0</v>
      </c>
      <c r="E27" s="145" t="s">
        <v>81</v>
      </c>
      <c r="F27" s="144" t="s">
        <v>65</v>
      </c>
      <c r="G27" s="146">
        <v>128.0</v>
      </c>
      <c r="H27" s="142">
        <f>H26+IF('활동비지출일별내역'!$B27="수입",'활동비지출일별내역'!$G27,(-1*'활동비지출일별내역'!$G27))</f>
        <v>3002551</v>
      </c>
      <c r="I27" s="139" t="s">
        <v>80</v>
      </c>
      <c r="J27" s="147"/>
    </row>
    <row r="28" ht="19.5" customHeight="1">
      <c r="A28" s="138">
        <v>22.0</v>
      </c>
      <c r="B28" s="139" t="s">
        <v>46</v>
      </c>
      <c r="C28" s="144" t="s">
        <v>59</v>
      </c>
      <c r="D28" s="140">
        <v>45400.0</v>
      </c>
      <c r="E28" s="145" t="s">
        <v>81</v>
      </c>
      <c r="F28" s="144" t="s">
        <v>65</v>
      </c>
      <c r="G28" s="146">
        <v>128.0</v>
      </c>
      <c r="H28" s="142">
        <f>H27+IF('활동비지출일별내역'!$B28="수입",'활동비지출일별내역'!$G28,(-1*'활동비지출일별내역'!$G28))</f>
        <v>3002679</v>
      </c>
      <c r="I28" s="139" t="s">
        <v>80</v>
      </c>
      <c r="J28" s="143"/>
    </row>
    <row r="29" ht="19.5" customHeight="1">
      <c r="A29" s="138">
        <v>23.0</v>
      </c>
      <c r="B29" s="139" t="s">
        <v>46</v>
      </c>
      <c r="C29" s="144" t="s">
        <v>59</v>
      </c>
      <c r="D29" s="140">
        <v>45401.0</v>
      </c>
      <c r="E29" s="145" t="s">
        <v>81</v>
      </c>
      <c r="F29" s="144" t="s">
        <v>65</v>
      </c>
      <c r="G29" s="146">
        <v>128.0</v>
      </c>
      <c r="H29" s="142">
        <f>H28+IF('활동비지출일별내역'!$B29="수입",'활동비지출일별내역'!$G29,(-1*'활동비지출일별내역'!$G29))</f>
        <v>3002807</v>
      </c>
      <c r="I29" s="139" t="s">
        <v>80</v>
      </c>
      <c r="J29" s="139"/>
    </row>
    <row r="30" ht="19.5" customHeight="1">
      <c r="A30" s="138">
        <v>24.0</v>
      </c>
      <c r="B30" s="139" t="s">
        <v>46</v>
      </c>
      <c r="C30" s="144" t="s">
        <v>59</v>
      </c>
      <c r="D30" s="140">
        <v>45402.0</v>
      </c>
      <c r="E30" s="145" t="s">
        <v>81</v>
      </c>
      <c r="F30" s="144" t="s">
        <v>65</v>
      </c>
      <c r="G30" s="146">
        <v>128.0</v>
      </c>
      <c r="H30" s="142">
        <f>H29+IF('활동비지출일별내역'!$B30="수입",'활동비지출일별내역'!$G30,(-1*'활동비지출일별내역'!$G30))</f>
        <v>3002935</v>
      </c>
      <c r="I30" s="139" t="s">
        <v>80</v>
      </c>
      <c r="J30" s="143"/>
    </row>
    <row r="31" ht="19.5" customHeight="1">
      <c r="A31" s="138">
        <v>25.0</v>
      </c>
      <c r="B31" s="139" t="s">
        <v>46</v>
      </c>
      <c r="C31" s="144" t="s">
        <v>59</v>
      </c>
      <c r="D31" s="140">
        <v>45403.0</v>
      </c>
      <c r="E31" s="145" t="s">
        <v>81</v>
      </c>
      <c r="F31" s="144" t="s">
        <v>65</v>
      </c>
      <c r="G31" s="146">
        <v>128.0</v>
      </c>
      <c r="H31" s="142">
        <f>H30+IF('활동비지출일별내역'!$B31="수입",'활동비지출일별내역'!$G31,(-1*'활동비지출일별내역'!$G31))</f>
        <v>3003063</v>
      </c>
      <c r="I31" s="139" t="s">
        <v>80</v>
      </c>
      <c r="J31" s="143"/>
    </row>
    <row r="32" ht="19.5" customHeight="1">
      <c r="A32" s="138">
        <v>26.0</v>
      </c>
      <c r="B32" s="139" t="s">
        <v>46</v>
      </c>
      <c r="C32" s="144" t="s">
        <v>59</v>
      </c>
      <c r="D32" s="140">
        <v>45404.0</v>
      </c>
      <c r="E32" s="145" t="s">
        <v>81</v>
      </c>
      <c r="F32" s="144" t="s">
        <v>65</v>
      </c>
      <c r="G32" s="146">
        <v>128.0</v>
      </c>
      <c r="H32" s="142">
        <f>H31+IF('활동비지출일별내역'!$B32="수입",'활동비지출일별내역'!$G32,(-1*'활동비지출일별내역'!$G32))</f>
        <v>3003191</v>
      </c>
      <c r="I32" s="139" t="s">
        <v>80</v>
      </c>
      <c r="J32" s="143"/>
    </row>
    <row r="33" ht="19.5" customHeight="1">
      <c r="A33" s="138">
        <v>27.0</v>
      </c>
      <c r="B33" s="139" t="s">
        <v>46</v>
      </c>
      <c r="C33" s="144" t="s">
        <v>59</v>
      </c>
      <c r="D33" s="140">
        <v>45405.0</v>
      </c>
      <c r="E33" s="145" t="s">
        <v>81</v>
      </c>
      <c r="F33" s="144" t="s">
        <v>65</v>
      </c>
      <c r="G33" s="146">
        <v>128.0</v>
      </c>
      <c r="H33" s="142">
        <f>H32+IF('활동비지출일별내역'!$B33="수입",'활동비지출일별내역'!$G33,(-1*'활동비지출일별내역'!$G33))</f>
        <v>3003319</v>
      </c>
      <c r="I33" s="139" t="s">
        <v>80</v>
      </c>
      <c r="J33" s="143"/>
    </row>
    <row r="34" ht="19.5" customHeight="1">
      <c r="A34" s="138">
        <v>28.0</v>
      </c>
      <c r="B34" s="139" t="s">
        <v>46</v>
      </c>
      <c r="C34" s="144" t="s">
        <v>59</v>
      </c>
      <c r="D34" s="140">
        <v>45406.0</v>
      </c>
      <c r="E34" s="145" t="s">
        <v>81</v>
      </c>
      <c r="F34" s="144" t="s">
        <v>65</v>
      </c>
      <c r="G34" s="146">
        <v>128.0</v>
      </c>
      <c r="H34" s="142">
        <f>H33+IF('활동비지출일별내역'!$B34="수입",'활동비지출일별내역'!$G34,(-1*'활동비지출일별내역'!$G34))</f>
        <v>3003447</v>
      </c>
      <c r="I34" s="139" t="s">
        <v>80</v>
      </c>
      <c r="J34" s="143"/>
    </row>
    <row r="35" ht="19.5" customHeight="1">
      <c r="A35" s="138">
        <v>29.0</v>
      </c>
      <c r="B35" s="139" t="s">
        <v>46</v>
      </c>
      <c r="C35" s="144" t="s">
        <v>59</v>
      </c>
      <c r="D35" s="140">
        <v>45407.0</v>
      </c>
      <c r="E35" s="145" t="s">
        <v>81</v>
      </c>
      <c r="F35" s="144" t="s">
        <v>65</v>
      </c>
      <c r="G35" s="146">
        <v>128.0</v>
      </c>
      <c r="H35" s="142">
        <f>H34+IF('활동비지출일별내역'!$B35="수입",'활동비지출일별내역'!$G35,(-1*'활동비지출일별내역'!$G35))</f>
        <v>3003575</v>
      </c>
      <c r="I35" s="139" t="s">
        <v>80</v>
      </c>
      <c r="J35" s="143"/>
    </row>
    <row r="36" ht="19.5" customHeight="1">
      <c r="A36" s="138">
        <v>30.0</v>
      </c>
      <c r="B36" s="139" t="s">
        <v>46</v>
      </c>
      <c r="C36" s="144" t="s">
        <v>59</v>
      </c>
      <c r="D36" s="140">
        <v>45408.0</v>
      </c>
      <c r="E36" s="145" t="s">
        <v>81</v>
      </c>
      <c r="F36" s="144" t="s">
        <v>65</v>
      </c>
      <c r="G36" s="146">
        <v>128.0</v>
      </c>
      <c r="H36" s="142">
        <f>H35+IF('활동비지출일별내역'!$B36="수입",'활동비지출일별내역'!$G36,(-1*'활동비지출일별내역'!$G36))</f>
        <v>3003703</v>
      </c>
      <c r="I36" s="139" t="s">
        <v>80</v>
      </c>
      <c r="J36" s="143"/>
    </row>
    <row r="37" ht="19.5" customHeight="1">
      <c r="A37" s="138">
        <v>31.0</v>
      </c>
      <c r="B37" s="139" t="s">
        <v>46</v>
      </c>
      <c r="C37" s="144" t="s">
        <v>59</v>
      </c>
      <c r="D37" s="140">
        <v>45409.0</v>
      </c>
      <c r="E37" s="145" t="s">
        <v>81</v>
      </c>
      <c r="F37" s="144" t="s">
        <v>65</v>
      </c>
      <c r="G37" s="146">
        <v>128.0</v>
      </c>
      <c r="H37" s="142">
        <f>H36+IF('활동비지출일별내역'!$B37="수입",'활동비지출일별내역'!$G37,(-1*'활동비지출일별내역'!$G37))</f>
        <v>3003831</v>
      </c>
      <c r="I37" s="139" t="s">
        <v>80</v>
      </c>
      <c r="J37" s="143"/>
    </row>
    <row r="38" ht="19.5" customHeight="1">
      <c r="A38" s="138">
        <v>32.0</v>
      </c>
      <c r="B38" s="139" t="s">
        <v>46</v>
      </c>
      <c r="C38" s="144" t="s">
        <v>59</v>
      </c>
      <c r="D38" s="140">
        <v>45410.0</v>
      </c>
      <c r="E38" s="145" t="s">
        <v>81</v>
      </c>
      <c r="F38" s="144" t="s">
        <v>65</v>
      </c>
      <c r="G38" s="146">
        <v>128.0</v>
      </c>
      <c r="H38" s="142">
        <f>H37+IF('활동비지출일별내역'!$B38="수입",'활동비지출일별내역'!$G38,(-1*'활동비지출일별내역'!$G38))</f>
        <v>3003959</v>
      </c>
      <c r="I38" s="139" t="s">
        <v>80</v>
      </c>
      <c r="J38" s="143"/>
    </row>
    <row r="39" ht="19.5" customHeight="1">
      <c r="A39" s="138">
        <v>33.0</v>
      </c>
      <c r="B39" s="139" t="s">
        <v>46</v>
      </c>
      <c r="C39" s="144" t="s">
        <v>59</v>
      </c>
      <c r="D39" s="140">
        <v>45411.0</v>
      </c>
      <c r="E39" s="145" t="s">
        <v>81</v>
      </c>
      <c r="F39" s="144" t="s">
        <v>65</v>
      </c>
      <c r="G39" s="146">
        <v>128.0</v>
      </c>
      <c r="H39" s="142">
        <f>H38+IF('활동비지출일별내역'!$B39="수입",'활동비지출일별내역'!$G39,(-1*'활동비지출일별내역'!$G39))</f>
        <v>3004087</v>
      </c>
      <c r="I39" s="139" t="s">
        <v>80</v>
      </c>
      <c r="J39" s="143"/>
    </row>
    <row r="40" ht="19.5" customHeight="1">
      <c r="A40" s="138">
        <v>34.0</v>
      </c>
      <c r="B40" s="139" t="s">
        <v>46</v>
      </c>
      <c r="C40" s="144" t="s">
        <v>59</v>
      </c>
      <c r="D40" s="140">
        <v>45412.0</v>
      </c>
      <c r="E40" s="145" t="s">
        <v>81</v>
      </c>
      <c r="F40" s="144" t="s">
        <v>65</v>
      </c>
      <c r="G40" s="146">
        <v>128.0</v>
      </c>
      <c r="H40" s="142">
        <f>H39+IF('활동비지출일별내역'!$B40="수입",'활동비지출일별내역'!$G40,(-1*'활동비지출일별내역'!$G40))</f>
        <v>3004215</v>
      </c>
      <c r="I40" s="139" t="s">
        <v>80</v>
      </c>
      <c r="J40" s="143"/>
    </row>
    <row r="41" ht="19.5" customHeight="1">
      <c r="A41" s="138">
        <v>35.0</v>
      </c>
      <c r="B41" s="139" t="s">
        <v>46</v>
      </c>
      <c r="C41" s="144" t="s">
        <v>59</v>
      </c>
      <c r="D41" s="140">
        <v>45413.0</v>
      </c>
      <c r="E41" s="145" t="s">
        <v>81</v>
      </c>
      <c r="F41" s="144" t="s">
        <v>65</v>
      </c>
      <c r="G41" s="146">
        <v>128.0</v>
      </c>
      <c r="H41" s="142">
        <f>H40+IF('활동비지출일별내역'!$B41="수입",'활동비지출일별내역'!$G41,(-1*'활동비지출일별내역'!$G41))</f>
        <v>3004343</v>
      </c>
      <c r="I41" s="139" t="s">
        <v>80</v>
      </c>
      <c r="J41" s="143"/>
    </row>
    <row r="42" ht="19.5" customHeight="1">
      <c r="A42" s="138">
        <v>36.0</v>
      </c>
      <c r="B42" s="139" t="s">
        <v>46</v>
      </c>
      <c r="C42" s="144" t="s">
        <v>59</v>
      </c>
      <c r="D42" s="140">
        <v>45414.0</v>
      </c>
      <c r="E42" s="145" t="s">
        <v>81</v>
      </c>
      <c r="F42" s="144" t="s">
        <v>65</v>
      </c>
      <c r="G42" s="146">
        <v>128.0</v>
      </c>
      <c r="H42" s="142">
        <f>H41+IF('활동비지출일별내역'!$B42="수입",'활동비지출일별내역'!$G42,(-1*'활동비지출일별내역'!$G42))</f>
        <v>3004471</v>
      </c>
      <c r="I42" s="139" t="s">
        <v>80</v>
      </c>
      <c r="J42" s="143"/>
    </row>
    <row r="43" ht="19.5" customHeight="1">
      <c r="A43" s="138">
        <v>37.0</v>
      </c>
      <c r="B43" s="139" t="s">
        <v>46</v>
      </c>
      <c r="C43" s="144" t="s">
        <v>59</v>
      </c>
      <c r="D43" s="140">
        <v>45415.0</v>
      </c>
      <c r="E43" s="145" t="s">
        <v>81</v>
      </c>
      <c r="F43" s="144" t="s">
        <v>65</v>
      </c>
      <c r="G43" s="146">
        <v>128.0</v>
      </c>
      <c r="H43" s="142">
        <f>H42+IF('활동비지출일별내역'!$B43="수입",'활동비지출일별내역'!$G43,(-1*'활동비지출일별내역'!$G43))</f>
        <v>3004599</v>
      </c>
      <c r="I43" s="139" t="s">
        <v>80</v>
      </c>
      <c r="J43" s="143"/>
    </row>
    <row r="44" ht="19.5" customHeight="1">
      <c r="A44" s="138">
        <v>38.0</v>
      </c>
      <c r="B44" s="139" t="s">
        <v>46</v>
      </c>
      <c r="C44" s="144" t="s">
        <v>59</v>
      </c>
      <c r="D44" s="140">
        <v>45416.0</v>
      </c>
      <c r="E44" s="145" t="s">
        <v>81</v>
      </c>
      <c r="F44" s="144" t="s">
        <v>65</v>
      </c>
      <c r="G44" s="146">
        <v>128.0</v>
      </c>
      <c r="H44" s="142">
        <f>H43+IF('활동비지출일별내역'!$B44="수입",'활동비지출일별내역'!$G44,(-1*'활동비지출일별내역'!$G44))</f>
        <v>3004727</v>
      </c>
      <c r="I44" s="139" t="s">
        <v>80</v>
      </c>
      <c r="J44" s="143"/>
    </row>
    <row r="45" ht="19.5" customHeight="1">
      <c r="A45" s="138">
        <v>39.0</v>
      </c>
      <c r="B45" s="139" t="s">
        <v>46</v>
      </c>
      <c r="C45" s="144" t="s">
        <v>59</v>
      </c>
      <c r="D45" s="140">
        <v>45417.0</v>
      </c>
      <c r="E45" s="145" t="s">
        <v>81</v>
      </c>
      <c r="F45" s="144" t="s">
        <v>65</v>
      </c>
      <c r="G45" s="146">
        <v>128.0</v>
      </c>
      <c r="H45" s="142">
        <f>H44+IF('활동비지출일별내역'!$B45="수입",'활동비지출일별내역'!$G45,(-1*'활동비지출일별내역'!$G45))</f>
        <v>3004855</v>
      </c>
      <c r="I45" s="139" t="s">
        <v>80</v>
      </c>
      <c r="J45" s="143"/>
    </row>
    <row r="46" ht="19.5" customHeight="1">
      <c r="A46" s="138">
        <v>40.0</v>
      </c>
      <c r="B46" s="139" t="s">
        <v>46</v>
      </c>
      <c r="C46" s="144" t="s">
        <v>59</v>
      </c>
      <c r="D46" s="140">
        <v>45418.0</v>
      </c>
      <c r="E46" s="145" t="s">
        <v>81</v>
      </c>
      <c r="F46" s="144" t="s">
        <v>65</v>
      </c>
      <c r="G46" s="146">
        <v>128.0</v>
      </c>
      <c r="H46" s="142">
        <f>H45+IF('활동비지출일별내역'!$B46="수입",'활동비지출일별내역'!$G46,(-1*'활동비지출일별내역'!$G46))</f>
        <v>3004983</v>
      </c>
      <c r="I46" s="139" t="s">
        <v>80</v>
      </c>
      <c r="J46" s="143"/>
    </row>
    <row r="47" ht="19.5" customHeight="1">
      <c r="A47" s="138">
        <v>41.0</v>
      </c>
      <c r="B47" s="139" t="s">
        <v>46</v>
      </c>
      <c r="C47" s="144" t="s">
        <v>59</v>
      </c>
      <c r="D47" s="140">
        <v>45419.0</v>
      </c>
      <c r="E47" s="145" t="s">
        <v>81</v>
      </c>
      <c r="F47" s="144" t="s">
        <v>65</v>
      </c>
      <c r="G47" s="146">
        <v>128.0</v>
      </c>
      <c r="H47" s="142">
        <f>H46+IF('활동비지출일별내역'!$B47="수입",'활동비지출일별내역'!$G47,(-1*'활동비지출일별내역'!$G47))</f>
        <v>3005111</v>
      </c>
      <c r="I47" s="139" t="s">
        <v>80</v>
      </c>
      <c r="J47" s="143"/>
    </row>
    <row r="48" ht="19.5" customHeight="1">
      <c r="A48" s="138">
        <v>42.0</v>
      </c>
      <c r="B48" s="139" t="s">
        <v>46</v>
      </c>
      <c r="C48" s="144" t="s">
        <v>59</v>
      </c>
      <c r="D48" s="140">
        <v>45420.0</v>
      </c>
      <c r="E48" s="145" t="s">
        <v>81</v>
      </c>
      <c r="F48" s="144" t="s">
        <v>65</v>
      </c>
      <c r="G48" s="146">
        <v>128.0</v>
      </c>
      <c r="H48" s="142">
        <f>H47+IF('활동비지출일별내역'!$B48="수입",'활동비지출일별내역'!$G48,(-1*'활동비지출일별내역'!$G48))</f>
        <v>3005239</v>
      </c>
      <c r="I48" s="139" t="s">
        <v>80</v>
      </c>
      <c r="J48" s="143"/>
    </row>
    <row r="49" ht="19.5" customHeight="1">
      <c r="A49" s="138">
        <v>43.0</v>
      </c>
      <c r="B49" s="139" t="s">
        <v>46</v>
      </c>
      <c r="C49" s="144" t="s">
        <v>59</v>
      </c>
      <c r="D49" s="140">
        <v>45421.0</v>
      </c>
      <c r="E49" s="145" t="s">
        <v>81</v>
      </c>
      <c r="F49" s="144" t="s">
        <v>65</v>
      </c>
      <c r="G49" s="146">
        <v>128.0</v>
      </c>
      <c r="H49" s="142">
        <f>H48+IF('활동비지출일별내역'!$B49="수입",'활동비지출일별내역'!$G49,(-1*'활동비지출일별내역'!$G49))</f>
        <v>3005367</v>
      </c>
      <c r="I49" s="139" t="s">
        <v>80</v>
      </c>
      <c r="J49" s="143"/>
    </row>
    <row r="50" ht="19.5" customHeight="1">
      <c r="A50" s="138">
        <v>44.0</v>
      </c>
      <c r="B50" s="139" t="s">
        <v>46</v>
      </c>
      <c r="C50" s="144" t="s">
        <v>59</v>
      </c>
      <c r="D50" s="140">
        <v>45422.0</v>
      </c>
      <c r="E50" s="145" t="s">
        <v>81</v>
      </c>
      <c r="F50" s="144" t="s">
        <v>65</v>
      </c>
      <c r="G50" s="146">
        <v>128.0</v>
      </c>
      <c r="H50" s="142">
        <f>H49+IF('활동비지출일별내역'!$B50="수입",'활동비지출일별내역'!$G50,(-1*'활동비지출일별내역'!$G50))</f>
        <v>3005495</v>
      </c>
      <c r="I50" s="139" t="s">
        <v>80</v>
      </c>
      <c r="J50" s="143"/>
    </row>
    <row r="51" ht="19.5" customHeight="1">
      <c r="A51" s="138">
        <v>45.0</v>
      </c>
      <c r="B51" s="139" t="s">
        <v>46</v>
      </c>
      <c r="C51" s="144" t="s">
        <v>59</v>
      </c>
      <c r="D51" s="140">
        <v>45423.0</v>
      </c>
      <c r="E51" s="145" t="s">
        <v>81</v>
      </c>
      <c r="F51" s="144" t="s">
        <v>65</v>
      </c>
      <c r="G51" s="146">
        <v>128.0</v>
      </c>
      <c r="H51" s="142">
        <f>H50+IF('활동비지출일별내역'!$B51="수입",'활동비지출일별내역'!$G51,(-1*'활동비지출일별내역'!$G51))</f>
        <v>3005623</v>
      </c>
      <c r="I51" s="139" t="s">
        <v>80</v>
      </c>
      <c r="J51" s="143"/>
    </row>
    <row r="52" ht="19.5" customHeight="1">
      <c r="A52" s="138">
        <v>46.0</v>
      </c>
      <c r="B52" s="139" t="s">
        <v>46</v>
      </c>
      <c r="C52" s="144" t="s">
        <v>59</v>
      </c>
      <c r="D52" s="140">
        <v>45424.0</v>
      </c>
      <c r="E52" s="145" t="s">
        <v>81</v>
      </c>
      <c r="F52" s="144" t="s">
        <v>65</v>
      </c>
      <c r="G52" s="146">
        <v>128.0</v>
      </c>
      <c r="H52" s="142">
        <f>H51+IF('활동비지출일별내역'!$B52="수입",'활동비지출일별내역'!$G52,(-1*'활동비지출일별내역'!$G52))</f>
        <v>3005751</v>
      </c>
      <c r="I52" s="139" t="s">
        <v>80</v>
      </c>
      <c r="J52" s="143"/>
    </row>
    <row r="53" ht="19.5" customHeight="1">
      <c r="A53" s="138">
        <v>47.0</v>
      </c>
      <c r="B53" s="139" t="s">
        <v>46</v>
      </c>
      <c r="C53" s="144" t="s">
        <v>59</v>
      </c>
      <c r="D53" s="140">
        <v>45425.0</v>
      </c>
      <c r="E53" s="145" t="s">
        <v>81</v>
      </c>
      <c r="F53" s="144" t="s">
        <v>65</v>
      </c>
      <c r="G53" s="146">
        <v>128.0</v>
      </c>
      <c r="H53" s="142">
        <f>H52+IF('활동비지출일별내역'!$B53="수입",'활동비지출일별내역'!$G53,(-1*'활동비지출일별내역'!$G53))</f>
        <v>3005879</v>
      </c>
      <c r="I53" s="139" t="s">
        <v>80</v>
      </c>
      <c r="J53" s="143"/>
    </row>
    <row r="54" ht="19.5" customHeight="1">
      <c r="A54" s="138">
        <v>48.0</v>
      </c>
      <c r="B54" s="139" t="s">
        <v>46</v>
      </c>
      <c r="C54" s="144" t="s">
        <v>59</v>
      </c>
      <c r="D54" s="140">
        <v>45426.0</v>
      </c>
      <c r="E54" s="145" t="s">
        <v>81</v>
      </c>
      <c r="F54" s="144" t="s">
        <v>65</v>
      </c>
      <c r="G54" s="146">
        <v>128.0</v>
      </c>
      <c r="H54" s="142">
        <f>H53+IF('활동비지출일별내역'!$B54="수입",'활동비지출일별내역'!$G54,(-1*'활동비지출일별내역'!$G54))</f>
        <v>3006007</v>
      </c>
      <c r="I54" s="139" t="s">
        <v>80</v>
      </c>
      <c r="J54" s="143"/>
    </row>
    <row r="55" ht="19.5" customHeight="1">
      <c r="A55" s="138">
        <v>49.0</v>
      </c>
      <c r="B55" s="139" t="s">
        <v>46</v>
      </c>
      <c r="C55" s="144" t="s">
        <v>59</v>
      </c>
      <c r="D55" s="140">
        <v>45427.0</v>
      </c>
      <c r="E55" s="145" t="s">
        <v>81</v>
      </c>
      <c r="F55" s="144" t="s">
        <v>65</v>
      </c>
      <c r="G55" s="146">
        <v>128.0</v>
      </c>
      <c r="H55" s="142">
        <f>H54+IF('활동비지출일별내역'!$B55="수입",'활동비지출일별내역'!$G55,(-1*'활동비지출일별내역'!$G55))</f>
        <v>3006135</v>
      </c>
      <c r="I55" s="139" t="s">
        <v>80</v>
      </c>
      <c r="J55" s="143"/>
    </row>
    <row r="56" ht="19.5" customHeight="1">
      <c r="A56" s="138">
        <v>50.0</v>
      </c>
      <c r="B56" s="139" t="s">
        <v>46</v>
      </c>
      <c r="C56" s="144" t="s">
        <v>59</v>
      </c>
      <c r="D56" s="140">
        <v>45428.0</v>
      </c>
      <c r="E56" s="145" t="s">
        <v>81</v>
      </c>
      <c r="F56" s="144" t="s">
        <v>65</v>
      </c>
      <c r="G56" s="146">
        <v>128.0</v>
      </c>
      <c r="H56" s="142">
        <f>H55+IF('활동비지출일별내역'!$B56="수입",'활동비지출일별내역'!$G56,(-1*'활동비지출일별내역'!$G56))</f>
        <v>3006263</v>
      </c>
      <c r="I56" s="139" t="s">
        <v>80</v>
      </c>
      <c r="J56" s="143"/>
    </row>
    <row r="57" ht="19.5" customHeight="1">
      <c r="A57" s="138">
        <v>51.0</v>
      </c>
      <c r="B57" s="139" t="s">
        <v>46</v>
      </c>
      <c r="C57" s="144" t="s">
        <v>59</v>
      </c>
      <c r="D57" s="140">
        <v>45429.0</v>
      </c>
      <c r="E57" s="145" t="s">
        <v>81</v>
      </c>
      <c r="F57" s="144" t="s">
        <v>65</v>
      </c>
      <c r="G57" s="146">
        <v>128.0</v>
      </c>
      <c r="H57" s="142">
        <f>H56+IF('활동비지출일별내역'!$B57="수입",'활동비지출일별내역'!$G57,(-1*'활동비지출일별내역'!$G57))</f>
        <v>3006391</v>
      </c>
      <c r="I57" s="139" t="s">
        <v>80</v>
      </c>
      <c r="J57" s="143"/>
    </row>
    <row r="58" ht="19.5" customHeight="1">
      <c r="A58" s="138">
        <v>52.0</v>
      </c>
      <c r="B58" s="139" t="s">
        <v>46</v>
      </c>
      <c r="C58" s="144" t="s">
        <v>59</v>
      </c>
      <c r="D58" s="140">
        <v>45430.0</v>
      </c>
      <c r="E58" s="145" t="s">
        <v>81</v>
      </c>
      <c r="F58" s="144" t="s">
        <v>65</v>
      </c>
      <c r="G58" s="146">
        <v>128.0</v>
      </c>
      <c r="H58" s="142">
        <f>H57+IF('활동비지출일별내역'!$B58="수입",'활동비지출일별내역'!$G58,(-1*'활동비지출일별내역'!$G58))</f>
        <v>3006519</v>
      </c>
      <c r="I58" s="139" t="s">
        <v>80</v>
      </c>
      <c r="J58" s="143"/>
    </row>
    <row r="59" ht="19.5" customHeight="1">
      <c r="A59" s="138">
        <v>53.0</v>
      </c>
      <c r="B59" s="139" t="s">
        <v>46</v>
      </c>
      <c r="C59" s="144" t="s">
        <v>59</v>
      </c>
      <c r="D59" s="140">
        <v>45431.0</v>
      </c>
      <c r="E59" s="145" t="s">
        <v>81</v>
      </c>
      <c r="F59" s="144" t="s">
        <v>65</v>
      </c>
      <c r="G59" s="146">
        <v>128.0</v>
      </c>
      <c r="H59" s="142">
        <f>H58+IF('활동비지출일별내역'!$B59="수입",'활동비지출일별내역'!$G59,(-1*'활동비지출일별내역'!$G59))</f>
        <v>3006647</v>
      </c>
      <c r="I59" s="139" t="s">
        <v>80</v>
      </c>
      <c r="J59" s="143"/>
    </row>
    <row r="60" ht="19.5" customHeight="1">
      <c r="A60" s="138">
        <v>54.0</v>
      </c>
      <c r="B60" s="139" t="s">
        <v>46</v>
      </c>
      <c r="C60" s="144" t="s">
        <v>59</v>
      </c>
      <c r="D60" s="140">
        <v>45432.0</v>
      </c>
      <c r="E60" s="145" t="s">
        <v>81</v>
      </c>
      <c r="F60" s="144" t="s">
        <v>65</v>
      </c>
      <c r="G60" s="146">
        <v>128.0</v>
      </c>
      <c r="H60" s="142">
        <f>H59+IF('활동비지출일별내역'!$B60="수입",'활동비지출일별내역'!$G60,(-1*'활동비지출일별내역'!$G60))</f>
        <v>3006775</v>
      </c>
      <c r="I60" s="139" t="s">
        <v>80</v>
      </c>
      <c r="J60" s="143"/>
    </row>
    <row r="61" ht="19.5" customHeight="1">
      <c r="A61" s="138">
        <v>55.0</v>
      </c>
      <c r="B61" s="139" t="s">
        <v>46</v>
      </c>
      <c r="C61" s="144" t="s">
        <v>59</v>
      </c>
      <c r="D61" s="140">
        <v>45433.0</v>
      </c>
      <c r="E61" s="145" t="s">
        <v>81</v>
      </c>
      <c r="F61" s="144" t="s">
        <v>65</v>
      </c>
      <c r="G61" s="146">
        <v>128.0</v>
      </c>
      <c r="H61" s="142">
        <f>H60+IF('활동비지출일별내역'!$B61="수입",'활동비지출일별내역'!$G61,(-1*'활동비지출일별내역'!$G61))</f>
        <v>3006903</v>
      </c>
      <c r="I61" s="139" t="s">
        <v>80</v>
      </c>
      <c r="J61" s="143"/>
    </row>
    <row r="62" ht="19.5" customHeight="1">
      <c r="A62" s="138">
        <v>56.0</v>
      </c>
      <c r="B62" s="139" t="s">
        <v>46</v>
      </c>
      <c r="C62" s="144" t="s">
        <v>59</v>
      </c>
      <c r="D62" s="140">
        <v>45434.0</v>
      </c>
      <c r="E62" s="145" t="s">
        <v>81</v>
      </c>
      <c r="F62" s="144" t="s">
        <v>65</v>
      </c>
      <c r="G62" s="146">
        <v>128.0</v>
      </c>
      <c r="H62" s="142">
        <f>H61+IF('활동비지출일별내역'!$B62="수입",'활동비지출일별내역'!$G62,(-1*'활동비지출일별내역'!$G62))</f>
        <v>3007031</v>
      </c>
      <c r="I62" s="139" t="s">
        <v>80</v>
      </c>
      <c r="J62" s="143"/>
    </row>
    <row r="63" ht="19.5" customHeight="1">
      <c r="A63" s="138">
        <v>57.0</v>
      </c>
      <c r="B63" s="139" t="s">
        <v>46</v>
      </c>
      <c r="C63" s="144" t="s">
        <v>59</v>
      </c>
      <c r="D63" s="140">
        <v>45435.0</v>
      </c>
      <c r="E63" s="145" t="s">
        <v>81</v>
      </c>
      <c r="F63" s="144" t="s">
        <v>65</v>
      </c>
      <c r="G63" s="146">
        <v>128.0</v>
      </c>
      <c r="H63" s="142">
        <f>H62+IF('활동비지출일별내역'!$B63="수입",'활동비지출일별내역'!$G63,(-1*'활동비지출일별내역'!$G63))</f>
        <v>3007159</v>
      </c>
      <c r="I63" s="139" t="s">
        <v>80</v>
      </c>
      <c r="J63" s="143"/>
    </row>
    <row r="64" ht="19.5" customHeight="1">
      <c r="A64" s="138">
        <v>58.0</v>
      </c>
      <c r="B64" s="139" t="s">
        <v>46</v>
      </c>
      <c r="C64" s="144" t="s">
        <v>59</v>
      </c>
      <c r="D64" s="140">
        <v>45436.0</v>
      </c>
      <c r="E64" s="145" t="s">
        <v>81</v>
      </c>
      <c r="F64" s="144" t="s">
        <v>65</v>
      </c>
      <c r="G64" s="146">
        <v>128.0</v>
      </c>
      <c r="H64" s="142">
        <f>H63+IF('활동비지출일별내역'!$B64="수입",'활동비지출일별내역'!$G64,(-1*'활동비지출일별내역'!$G64))</f>
        <v>3007287</v>
      </c>
      <c r="I64" s="139" t="s">
        <v>80</v>
      </c>
      <c r="J64" s="143"/>
    </row>
    <row r="65" ht="19.5" customHeight="1">
      <c r="A65" s="138">
        <v>59.0</v>
      </c>
      <c r="B65" s="139" t="s">
        <v>46</v>
      </c>
      <c r="C65" s="144" t="s">
        <v>59</v>
      </c>
      <c r="D65" s="140">
        <v>45437.0</v>
      </c>
      <c r="E65" s="145" t="s">
        <v>81</v>
      </c>
      <c r="F65" s="144" t="s">
        <v>65</v>
      </c>
      <c r="G65" s="146">
        <v>128.0</v>
      </c>
      <c r="H65" s="142">
        <f>H64+IF('활동비지출일별내역'!$B65="수입",'활동비지출일별내역'!$G65,(-1*'활동비지출일별내역'!$G65))</f>
        <v>3007415</v>
      </c>
      <c r="I65" s="139" t="s">
        <v>80</v>
      </c>
      <c r="J65" s="143"/>
    </row>
    <row r="66" ht="19.5" customHeight="1">
      <c r="A66" s="138">
        <v>60.0</v>
      </c>
      <c r="B66" s="139" t="s">
        <v>46</v>
      </c>
      <c r="C66" s="144" t="s">
        <v>59</v>
      </c>
      <c r="D66" s="140">
        <v>45438.0</v>
      </c>
      <c r="E66" s="145" t="s">
        <v>81</v>
      </c>
      <c r="F66" s="144" t="s">
        <v>65</v>
      </c>
      <c r="G66" s="146">
        <v>128.0</v>
      </c>
      <c r="H66" s="142">
        <f>H65+IF('활동비지출일별내역'!$B66="수입",'활동비지출일별내역'!$G66,(-1*'활동비지출일별내역'!$G66))</f>
        <v>3007543</v>
      </c>
      <c r="I66" s="139" t="s">
        <v>80</v>
      </c>
      <c r="J66" s="143"/>
    </row>
    <row r="67" ht="19.5" customHeight="1">
      <c r="A67" s="138">
        <v>61.0</v>
      </c>
      <c r="B67" s="139" t="s">
        <v>46</v>
      </c>
      <c r="C67" s="144" t="s">
        <v>59</v>
      </c>
      <c r="D67" s="140">
        <v>45439.0</v>
      </c>
      <c r="E67" s="145" t="s">
        <v>81</v>
      </c>
      <c r="F67" s="144" t="s">
        <v>65</v>
      </c>
      <c r="G67" s="146">
        <v>128.0</v>
      </c>
      <c r="H67" s="142">
        <f>H66+IF('활동비지출일별내역'!$B67="수입",'활동비지출일별내역'!$G67,(-1*'활동비지출일별내역'!$G67))</f>
        <v>3007671</v>
      </c>
      <c r="I67" s="139" t="s">
        <v>80</v>
      </c>
      <c r="J67" s="143"/>
    </row>
    <row r="68" ht="19.5" customHeight="1">
      <c r="A68" s="138">
        <v>62.0</v>
      </c>
      <c r="B68" s="139" t="s">
        <v>46</v>
      </c>
      <c r="C68" s="144" t="s">
        <v>59</v>
      </c>
      <c r="D68" s="140">
        <v>45440.0</v>
      </c>
      <c r="E68" s="145" t="s">
        <v>81</v>
      </c>
      <c r="F68" s="144" t="s">
        <v>65</v>
      </c>
      <c r="G68" s="146">
        <v>128.0</v>
      </c>
      <c r="H68" s="142">
        <f>H67+IF('활동비지출일별내역'!$B68="수입",'활동비지출일별내역'!$G68,(-1*'활동비지출일별내역'!$G68))</f>
        <v>3007799</v>
      </c>
      <c r="I68" s="139" t="s">
        <v>80</v>
      </c>
      <c r="J68" s="143"/>
    </row>
    <row r="69" ht="19.5" customHeight="1">
      <c r="A69" s="138">
        <v>63.0</v>
      </c>
      <c r="B69" s="139" t="s">
        <v>46</v>
      </c>
      <c r="C69" s="144" t="s">
        <v>59</v>
      </c>
      <c r="D69" s="140">
        <v>45441.0</v>
      </c>
      <c r="E69" s="145" t="s">
        <v>81</v>
      </c>
      <c r="F69" s="144" t="s">
        <v>65</v>
      </c>
      <c r="G69" s="146">
        <v>128.0</v>
      </c>
      <c r="H69" s="142">
        <f>H68+IF('활동비지출일별내역'!$B69="수입",'활동비지출일별내역'!$G69,(-1*'활동비지출일별내역'!$G69))</f>
        <v>3007927</v>
      </c>
      <c r="I69" s="139" t="s">
        <v>80</v>
      </c>
      <c r="J69" s="143"/>
    </row>
    <row r="70" ht="19.5" customHeight="1">
      <c r="A70" s="138">
        <v>64.0</v>
      </c>
      <c r="B70" s="139" t="s">
        <v>46</v>
      </c>
      <c r="C70" s="144" t="s">
        <v>59</v>
      </c>
      <c r="D70" s="140">
        <v>45442.0</v>
      </c>
      <c r="E70" s="145" t="s">
        <v>81</v>
      </c>
      <c r="F70" s="144" t="s">
        <v>65</v>
      </c>
      <c r="G70" s="146">
        <v>128.0</v>
      </c>
      <c r="H70" s="142">
        <f>H69+IF('활동비지출일별내역'!$B70="수입",'활동비지출일별내역'!$G70,(-1*'활동비지출일별내역'!$G70))</f>
        <v>3008055</v>
      </c>
      <c r="I70" s="139" t="s">
        <v>80</v>
      </c>
      <c r="J70" s="143"/>
    </row>
    <row r="71" ht="19.5" customHeight="1">
      <c r="A71" s="138">
        <v>65.0</v>
      </c>
      <c r="B71" s="139" t="s">
        <v>46</v>
      </c>
      <c r="C71" s="144" t="s">
        <v>59</v>
      </c>
      <c r="D71" s="140">
        <v>45443.0</v>
      </c>
      <c r="E71" s="145" t="s">
        <v>81</v>
      </c>
      <c r="F71" s="144" t="s">
        <v>65</v>
      </c>
      <c r="G71" s="146">
        <v>121.0</v>
      </c>
      <c r="H71" s="142">
        <f>H70+IF('활동비지출일별내역'!$B71="수입",'활동비지출일별내역'!$G71,(-1*'활동비지출일별내역'!$G71))</f>
        <v>3008176</v>
      </c>
      <c r="I71" s="139" t="s">
        <v>80</v>
      </c>
      <c r="J71" s="143"/>
    </row>
    <row r="72" ht="19.5" customHeight="1">
      <c r="A72" s="138">
        <v>66.0</v>
      </c>
      <c r="B72" s="139" t="s">
        <v>46</v>
      </c>
      <c r="C72" s="144" t="s">
        <v>59</v>
      </c>
      <c r="D72" s="140">
        <v>45444.0</v>
      </c>
      <c r="E72" s="145" t="s">
        <v>81</v>
      </c>
      <c r="F72" s="144" t="s">
        <v>65</v>
      </c>
      <c r="G72" s="146">
        <v>121.0</v>
      </c>
      <c r="H72" s="142">
        <f>H71+IF('활동비지출일별내역'!$B72="수입",'활동비지출일별내역'!$G72,(-1*'활동비지출일별내역'!$G72))</f>
        <v>3008297</v>
      </c>
      <c r="I72" s="139" t="s">
        <v>80</v>
      </c>
      <c r="J72" s="143"/>
    </row>
    <row r="73" ht="19.5" customHeight="1">
      <c r="A73" s="138">
        <v>67.0</v>
      </c>
      <c r="B73" s="139" t="s">
        <v>46</v>
      </c>
      <c r="C73" s="144" t="s">
        <v>59</v>
      </c>
      <c r="D73" s="140">
        <v>45445.0</v>
      </c>
      <c r="E73" s="145" t="s">
        <v>81</v>
      </c>
      <c r="F73" s="144" t="s">
        <v>65</v>
      </c>
      <c r="G73" s="146">
        <v>121.0</v>
      </c>
      <c r="H73" s="142">
        <f>H72+IF('활동비지출일별내역'!$B73="수입",'활동비지출일별내역'!$G73,(-1*'활동비지출일별내역'!$G73))</f>
        <v>3008418</v>
      </c>
      <c r="I73" s="139" t="s">
        <v>80</v>
      </c>
      <c r="J73" s="143"/>
    </row>
    <row r="74" ht="19.5" customHeight="1">
      <c r="A74" s="138">
        <v>68.0</v>
      </c>
      <c r="B74" s="139" t="s">
        <v>46</v>
      </c>
      <c r="C74" s="144" t="s">
        <v>59</v>
      </c>
      <c r="D74" s="140">
        <v>45446.0</v>
      </c>
      <c r="E74" s="145" t="s">
        <v>81</v>
      </c>
      <c r="F74" s="144" t="s">
        <v>65</v>
      </c>
      <c r="G74" s="146">
        <v>121.0</v>
      </c>
      <c r="H74" s="142">
        <f>H73+IF('활동비지출일별내역'!$B74="수입",'활동비지출일별내역'!$G74,(-1*'활동비지출일별내역'!$G74))</f>
        <v>3008539</v>
      </c>
      <c r="I74" s="139" t="s">
        <v>80</v>
      </c>
      <c r="J74" s="143"/>
    </row>
    <row r="75" ht="19.5" customHeight="1">
      <c r="A75" s="138">
        <v>69.0</v>
      </c>
      <c r="B75" s="139" t="s">
        <v>46</v>
      </c>
      <c r="C75" s="144" t="s">
        <v>59</v>
      </c>
      <c r="D75" s="140">
        <v>45447.0</v>
      </c>
      <c r="E75" s="145" t="s">
        <v>81</v>
      </c>
      <c r="F75" s="144" t="s">
        <v>65</v>
      </c>
      <c r="G75" s="146">
        <v>121.0</v>
      </c>
      <c r="H75" s="142">
        <f>H74+IF('활동비지출일별내역'!$B75="수입",'활동비지출일별내역'!$G75,(-1*'활동비지출일별내역'!$G75))</f>
        <v>3008660</v>
      </c>
      <c r="I75" s="139" t="s">
        <v>80</v>
      </c>
      <c r="J75" s="143"/>
    </row>
    <row r="76" ht="19.5" customHeight="1">
      <c r="A76" s="138">
        <v>70.0</v>
      </c>
      <c r="B76" s="139" t="s">
        <v>46</v>
      </c>
      <c r="C76" s="144" t="s">
        <v>59</v>
      </c>
      <c r="D76" s="140">
        <v>45448.0</v>
      </c>
      <c r="E76" s="145" t="s">
        <v>81</v>
      </c>
      <c r="F76" s="144" t="s">
        <v>65</v>
      </c>
      <c r="G76" s="146">
        <v>121.0</v>
      </c>
      <c r="H76" s="142">
        <f>H75+IF('활동비지출일별내역'!$B76="수입",'활동비지출일별내역'!$G76,(-1*'활동비지출일별내역'!$G76))</f>
        <v>3008781</v>
      </c>
      <c r="I76" s="139" t="s">
        <v>80</v>
      </c>
      <c r="J76" s="143"/>
    </row>
    <row r="77" ht="19.5" customHeight="1">
      <c r="A77" s="138">
        <v>71.0</v>
      </c>
      <c r="B77" s="139" t="s">
        <v>46</v>
      </c>
      <c r="C77" s="144" t="s">
        <v>59</v>
      </c>
      <c r="D77" s="140">
        <v>45449.0</v>
      </c>
      <c r="E77" s="145" t="s">
        <v>81</v>
      </c>
      <c r="F77" s="144" t="s">
        <v>65</v>
      </c>
      <c r="G77" s="146">
        <v>121.0</v>
      </c>
      <c r="H77" s="142">
        <f>H76+IF('활동비지출일별내역'!$B77="수입",'활동비지출일별내역'!$G77,(-1*'활동비지출일별내역'!$G77))</f>
        <v>3008902</v>
      </c>
      <c r="I77" s="139" t="s">
        <v>80</v>
      </c>
      <c r="J77" s="143"/>
    </row>
    <row r="78" ht="19.5" customHeight="1">
      <c r="A78" s="138">
        <v>72.0</v>
      </c>
      <c r="B78" s="139" t="s">
        <v>46</v>
      </c>
      <c r="C78" s="144" t="s">
        <v>59</v>
      </c>
      <c r="D78" s="140">
        <v>45450.0</v>
      </c>
      <c r="E78" s="145" t="s">
        <v>81</v>
      </c>
      <c r="F78" s="144" t="s">
        <v>65</v>
      </c>
      <c r="G78" s="146">
        <v>121.0</v>
      </c>
      <c r="H78" s="142">
        <f>H77+IF('활동비지출일별내역'!$B78="수입",'활동비지출일별내역'!$G78,(-1*'활동비지출일별내역'!$G78))</f>
        <v>3009023</v>
      </c>
      <c r="I78" s="139" t="s">
        <v>80</v>
      </c>
      <c r="J78" s="143"/>
    </row>
    <row r="79" ht="19.5" customHeight="1">
      <c r="A79" s="138">
        <v>73.0</v>
      </c>
      <c r="B79" s="139" t="s">
        <v>46</v>
      </c>
      <c r="C79" s="144" t="s">
        <v>59</v>
      </c>
      <c r="D79" s="140">
        <v>45451.0</v>
      </c>
      <c r="E79" s="145" t="s">
        <v>81</v>
      </c>
      <c r="F79" s="144" t="s">
        <v>65</v>
      </c>
      <c r="G79" s="146">
        <v>121.0</v>
      </c>
      <c r="H79" s="142">
        <f>H78+IF('활동비지출일별내역'!$B79="수입",'활동비지출일별내역'!$G79,(-1*'활동비지출일별내역'!$G79))</f>
        <v>3009144</v>
      </c>
      <c r="I79" s="139" t="s">
        <v>80</v>
      </c>
      <c r="J79" s="143"/>
    </row>
    <row r="80" ht="19.5" customHeight="1">
      <c r="A80" s="138">
        <v>74.0</v>
      </c>
      <c r="B80" s="139" t="s">
        <v>46</v>
      </c>
      <c r="C80" s="144" t="s">
        <v>59</v>
      </c>
      <c r="D80" s="140">
        <v>45452.0</v>
      </c>
      <c r="E80" s="145" t="s">
        <v>81</v>
      </c>
      <c r="F80" s="144" t="s">
        <v>65</v>
      </c>
      <c r="G80" s="146">
        <v>121.0</v>
      </c>
      <c r="H80" s="142">
        <f>H79+IF('활동비지출일별내역'!$B80="수입",'활동비지출일별내역'!$G80,(-1*'활동비지출일별내역'!$G80))</f>
        <v>3009265</v>
      </c>
      <c r="I80" s="139" t="s">
        <v>80</v>
      </c>
      <c r="J80" s="143"/>
    </row>
    <row r="81" ht="19.5" customHeight="1">
      <c r="A81" s="138">
        <v>75.0</v>
      </c>
      <c r="B81" s="139" t="s">
        <v>46</v>
      </c>
      <c r="C81" s="144" t="s">
        <v>59</v>
      </c>
      <c r="D81" s="140">
        <v>45453.0</v>
      </c>
      <c r="E81" s="145" t="s">
        <v>81</v>
      </c>
      <c r="F81" s="144" t="s">
        <v>65</v>
      </c>
      <c r="G81" s="146">
        <v>121.0</v>
      </c>
      <c r="H81" s="142">
        <f>H80+IF('활동비지출일별내역'!$B81="수입",'활동비지출일별내역'!$G81,(-1*'활동비지출일별내역'!$G81))</f>
        <v>3009386</v>
      </c>
      <c r="I81" s="139" t="s">
        <v>80</v>
      </c>
      <c r="J81" s="143"/>
    </row>
    <row r="82" ht="19.5" customHeight="1">
      <c r="A82" s="138">
        <v>76.0</v>
      </c>
      <c r="B82" s="139" t="s">
        <v>46</v>
      </c>
      <c r="C82" s="144" t="s">
        <v>59</v>
      </c>
      <c r="D82" s="140">
        <v>45454.0</v>
      </c>
      <c r="E82" s="145" t="s">
        <v>81</v>
      </c>
      <c r="F82" s="144" t="s">
        <v>65</v>
      </c>
      <c r="G82" s="146">
        <v>121.0</v>
      </c>
      <c r="H82" s="142">
        <f>H81+IF('활동비지출일별내역'!$B82="수입",'활동비지출일별내역'!$G82,(-1*'활동비지출일별내역'!$G82))</f>
        <v>3009507</v>
      </c>
      <c r="I82" s="139" t="s">
        <v>80</v>
      </c>
      <c r="J82" s="143"/>
    </row>
    <row r="83" ht="19.5" customHeight="1">
      <c r="A83" s="138">
        <v>77.0</v>
      </c>
      <c r="B83" s="139" t="s">
        <v>46</v>
      </c>
      <c r="C83" s="144" t="s">
        <v>59</v>
      </c>
      <c r="D83" s="140">
        <v>45455.0</v>
      </c>
      <c r="E83" s="145" t="s">
        <v>81</v>
      </c>
      <c r="F83" s="144" t="s">
        <v>65</v>
      </c>
      <c r="G83" s="146">
        <v>121.0</v>
      </c>
      <c r="H83" s="142">
        <f>H82+IF('활동비지출일별내역'!$B83="수입",'활동비지출일별내역'!$G83,(-1*'활동비지출일별내역'!$G83))</f>
        <v>3009628</v>
      </c>
      <c r="I83" s="139" t="s">
        <v>80</v>
      </c>
      <c r="J83" s="143"/>
    </row>
    <row r="84" ht="19.5" customHeight="1">
      <c r="A84" s="138">
        <v>78.0</v>
      </c>
      <c r="B84" s="139" t="s">
        <v>46</v>
      </c>
      <c r="C84" s="144" t="s">
        <v>59</v>
      </c>
      <c r="D84" s="140">
        <v>45456.0</v>
      </c>
      <c r="E84" s="145" t="s">
        <v>81</v>
      </c>
      <c r="F84" s="144" t="s">
        <v>65</v>
      </c>
      <c r="G84" s="146">
        <v>121.0</v>
      </c>
      <c r="H84" s="142">
        <f>H83+IF('활동비지출일별내역'!$B84="수입",'활동비지출일별내역'!$G84,(-1*'활동비지출일별내역'!$G84))</f>
        <v>3009749</v>
      </c>
      <c r="I84" s="139" t="s">
        <v>80</v>
      </c>
      <c r="J84" s="143"/>
    </row>
    <row r="85" ht="19.5" customHeight="1">
      <c r="A85" s="138">
        <v>79.0</v>
      </c>
      <c r="B85" s="139" t="s">
        <v>46</v>
      </c>
      <c r="C85" s="144" t="s">
        <v>59</v>
      </c>
      <c r="D85" s="140">
        <v>45457.0</v>
      </c>
      <c r="E85" s="145" t="s">
        <v>81</v>
      </c>
      <c r="F85" s="144" t="s">
        <v>65</v>
      </c>
      <c r="G85" s="146">
        <v>121.0</v>
      </c>
      <c r="H85" s="142">
        <f>H84+IF('활동비지출일별내역'!$B85="수입",'활동비지출일별내역'!$G85,(-1*'활동비지출일별내역'!$G85))</f>
        <v>3009870</v>
      </c>
      <c r="I85" s="139" t="s">
        <v>80</v>
      </c>
      <c r="J85" s="143"/>
    </row>
    <row r="86" ht="19.5" customHeight="1">
      <c r="A86" s="138">
        <v>80.0</v>
      </c>
      <c r="B86" s="139" t="s">
        <v>46</v>
      </c>
      <c r="C86" s="144" t="s">
        <v>59</v>
      </c>
      <c r="D86" s="140">
        <v>45458.0</v>
      </c>
      <c r="E86" s="145" t="s">
        <v>81</v>
      </c>
      <c r="F86" s="144" t="s">
        <v>65</v>
      </c>
      <c r="G86" s="146">
        <v>121.0</v>
      </c>
      <c r="H86" s="142">
        <f>H85+IF('활동비지출일별내역'!$B86="수입",'활동비지출일별내역'!$G86,(-1*'활동비지출일별내역'!$G86))</f>
        <v>3009991</v>
      </c>
      <c r="I86" s="139" t="s">
        <v>80</v>
      </c>
      <c r="J86" s="143"/>
    </row>
    <row r="87" ht="19.5" customHeight="1">
      <c r="A87" s="138">
        <v>81.0</v>
      </c>
      <c r="B87" s="139" t="s">
        <v>46</v>
      </c>
      <c r="C87" s="144" t="s">
        <v>59</v>
      </c>
      <c r="D87" s="140">
        <v>45459.0</v>
      </c>
      <c r="E87" s="145" t="s">
        <v>81</v>
      </c>
      <c r="F87" s="144" t="s">
        <v>65</v>
      </c>
      <c r="G87" s="146">
        <v>121.0</v>
      </c>
      <c r="H87" s="142">
        <f>H86+IF('활동비지출일별내역'!$B87="수입",'활동비지출일별내역'!$G87,(-1*'활동비지출일별내역'!$G87))</f>
        <v>3010112</v>
      </c>
      <c r="I87" s="139" t="s">
        <v>80</v>
      </c>
      <c r="J87" s="143"/>
    </row>
    <row r="88" ht="19.5" customHeight="1">
      <c r="A88" s="138">
        <v>82.0</v>
      </c>
      <c r="B88" s="139" t="s">
        <v>46</v>
      </c>
      <c r="C88" s="144" t="s">
        <v>59</v>
      </c>
      <c r="D88" s="140">
        <v>45460.0</v>
      </c>
      <c r="E88" s="145" t="s">
        <v>81</v>
      </c>
      <c r="F88" s="144" t="s">
        <v>65</v>
      </c>
      <c r="G88" s="146">
        <v>121.0</v>
      </c>
      <c r="H88" s="142">
        <f>H87+IF('활동비지출일별내역'!$B88="수입",'활동비지출일별내역'!$G88,(-1*'활동비지출일별내역'!$G88))</f>
        <v>3010233</v>
      </c>
      <c r="I88" s="139" t="s">
        <v>80</v>
      </c>
      <c r="J88" s="143"/>
    </row>
    <row r="89" ht="19.5" customHeight="1">
      <c r="A89" s="138">
        <v>83.0</v>
      </c>
      <c r="B89" s="139" t="s">
        <v>46</v>
      </c>
      <c r="C89" s="144" t="s">
        <v>59</v>
      </c>
      <c r="D89" s="140">
        <v>45461.0</v>
      </c>
      <c r="E89" s="145" t="s">
        <v>81</v>
      </c>
      <c r="F89" s="144" t="s">
        <v>65</v>
      </c>
      <c r="G89" s="146">
        <v>121.0</v>
      </c>
      <c r="H89" s="142">
        <f>H88+IF('활동비지출일별내역'!$B89="수입",'활동비지출일별내역'!$G89,(-1*'활동비지출일별내역'!$G89))</f>
        <v>3010354</v>
      </c>
      <c r="I89" s="139" t="s">
        <v>80</v>
      </c>
      <c r="J89" s="143"/>
    </row>
    <row r="90" ht="19.5" customHeight="1">
      <c r="A90" s="138">
        <v>84.0</v>
      </c>
      <c r="B90" s="139" t="s">
        <v>46</v>
      </c>
      <c r="C90" s="144" t="s">
        <v>59</v>
      </c>
      <c r="D90" s="140">
        <v>45462.0</v>
      </c>
      <c r="E90" s="145" t="s">
        <v>81</v>
      </c>
      <c r="F90" s="144" t="s">
        <v>65</v>
      </c>
      <c r="G90" s="146">
        <v>121.0</v>
      </c>
      <c r="H90" s="142">
        <f>H89+IF('활동비지출일별내역'!$B90="수입",'활동비지출일별내역'!$G90,(-1*'활동비지출일별내역'!$G90))</f>
        <v>3010475</v>
      </c>
      <c r="I90" s="139" t="s">
        <v>80</v>
      </c>
      <c r="J90" s="143"/>
    </row>
    <row r="91" ht="19.5" customHeight="1">
      <c r="A91" s="138">
        <v>85.0</v>
      </c>
      <c r="B91" s="139" t="s">
        <v>46</v>
      </c>
      <c r="C91" s="144" t="s">
        <v>59</v>
      </c>
      <c r="D91" s="140">
        <v>45463.0</v>
      </c>
      <c r="E91" s="145" t="s">
        <v>81</v>
      </c>
      <c r="F91" s="144" t="s">
        <v>65</v>
      </c>
      <c r="G91" s="146">
        <v>121.0</v>
      </c>
      <c r="H91" s="142">
        <f>H90+IF('활동비지출일별내역'!$B91="수입",'활동비지출일별내역'!$G91,(-1*'활동비지출일별내역'!$G91))</f>
        <v>3010596</v>
      </c>
      <c r="I91" s="139" t="s">
        <v>80</v>
      </c>
      <c r="J91" s="143"/>
    </row>
    <row r="92" ht="19.5" customHeight="1">
      <c r="A92" s="138">
        <v>86.0</v>
      </c>
      <c r="B92" s="139" t="s">
        <v>46</v>
      </c>
      <c r="C92" s="144" t="s">
        <v>59</v>
      </c>
      <c r="D92" s="140">
        <v>45464.0</v>
      </c>
      <c r="E92" s="145" t="s">
        <v>81</v>
      </c>
      <c r="F92" s="144" t="s">
        <v>65</v>
      </c>
      <c r="G92" s="146">
        <v>121.0</v>
      </c>
      <c r="H92" s="142">
        <f>H91+IF('활동비지출일별내역'!$B92="수입",'활동비지출일별내역'!$G92,(-1*'활동비지출일별내역'!$G92))</f>
        <v>3010717</v>
      </c>
      <c r="I92" s="139" t="s">
        <v>80</v>
      </c>
      <c r="J92" s="143"/>
    </row>
    <row r="93" ht="19.5" customHeight="1">
      <c r="A93" s="138">
        <v>87.0</v>
      </c>
      <c r="B93" s="139" t="s">
        <v>46</v>
      </c>
      <c r="C93" s="144" t="s">
        <v>59</v>
      </c>
      <c r="D93" s="140">
        <v>45465.0</v>
      </c>
      <c r="E93" s="145" t="s">
        <v>81</v>
      </c>
      <c r="F93" s="144" t="s">
        <v>65</v>
      </c>
      <c r="G93" s="146">
        <v>121.0</v>
      </c>
      <c r="H93" s="142">
        <f>H92+IF('활동비지출일별내역'!$B93="수입",'활동비지출일별내역'!$G93,(-1*'활동비지출일별내역'!$G93))</f>
        <v>3010838</v>
      </c>
      <c r="I93" s="139" t="s">
        <v>80</v>
      </c>
      <c r="J93" s="143"/>
    </row>
    <row r="94" ht="19.5" customHeight="1">
      <c r="A94" s="138">
        <v>88.0</v>
      </c>
      <c r="B94" s="139" t="s">
        <v>46</v>
      </c>
      <c r="C94" s="144" t="s">
        <v>59</v>
      </c>
      <c r="D94" s="140">
        <v>45466.0</v>
      </c>
      <c r="E94" s="145" t="s">
        <v>81</v>
      </c>
      <c r="F94" s="144" t="s">
        <v>65</v>
      </c>
      <c r="G94" s="146">
        <v>121.0</v>
      </c>
      <c r="H94" s="142">
        <f>H93+IF('활동비지출일별내역'!$B94="수입",'활동비지출일별내역'!$G94,(-1*'활동비지출일별내역'!$G94))</f>
        <v>3010959</v>
      </c>
      <c r="I94" s="139" t="s">
        <v>80</v>
      </c>
      <c r="J94" s="143"/>
    </row>
    <row r="95" ht="19.5" customHeight="1">
      <c r="A95" s="138">
        <v>89.0</v>
      </c>
      <c r="B95" s="139" t="s">
        <v>46</v>
      </c>
      <c r="C95" s="144" t="s">
        <v>59</v>
      </c>
      <c r="D95" s="140">
        <v>45467.0</v>
      </c>
      <c r="E95" s="145" t="s">
        <v>81</v>
      </c>
      <c r="F95" s="144" t="s">
        <v>65</v>
      </c>
      <c r="G95" s="146">
        <v>121.0</v>
      </c>
      <c r="H95" s="142">
        <f>H94+IF('활동비지출일별내역'!$B95="수입",'활동비지출일별내역'!$G95,(-1*'활동비지출일별내역'!$G95))</f>
        <v>3011080</v>
      </c>
      <c r="I95" s="139" t="s">
        <v>80</v>
      </c>
      <c r="J95" s="143"/>
    </row>
    <row r="96" ht="19.5" customHeight="1">
      <c r="A96" s="138">
        <v>90.0</v>
      </c>
      <c r="B96" s="139" t="s">
        <v>46</v>
      </c>
      <c r="C96" s="144" t="s">
        <v>59</v>
      </c>
      <c r="D96" s="140">
        <v>45468.0</v>
      </c>
      <c r="E96" s="145" t="s">
        <v>81</v>
      </c>
      <c r="F96" s="144" t="s">
        <v>65</v>
      </c>
      <c r="G96" s="146">
        <v>121.0</v>
      </c>
      <c r="H96" s="142">
        <f>H95+IF('활동비지출일별내역'!$B96="수입",'활동비지출일별내역'!$G96,(-1*'활동비지출일별내역'!$G96))</f>
        <v>3011201</v>
      </c>
      <c r="I96" s="139" t="s">
        <v>80</v>
      </c>
      <c r="J96" s="143"/>
    </row>
    <row r="97" ht="19.5" customHeight="1">
      <c r="A97" s="138">
        <v>91.0</v>
      </c>
      <c r="B97" s="144" t="s">
        <v>23</v>
      </c>
      <c r="C97" s="144" t="s">
        <v>25</v>
      </c>
      <c r="D97" s="140">
        <v>45468.0</v>
      </c>
      <c r="E97" s="145" t="s">
        <v>82</v>
      </c>
      <c r="F97" s="144" t="s">
        <v>83</v>
      </c>
      <c r="G97" s="146">
        <v>175900.0</v>
      </c>
      <c r="H97" s="142">
        <f>H96+IF('활동비지출일별내역'!$B97="수입",'활동비지출일별내역'!$G97,(-1*'활동비지출일별내역'!$G97))</f>
        <v>2835301</v>
      </c>
      <c r="I97" s="144" t="s">
        <v>84</v>
      </c>
      <c r="J97" s="143"/>
    </row>
    <row r="98" ht="19.5" customHeight="1">
      <c r="A98" s="138">
        <v>92.0</v>
      </c>
      <c r="B98" s="144" t="s">
        <v>23</v>
      </c>
      <c r="C98" s="144" t="s">
        <v>25</v>
      </c>
      <c r="D98" s="140">
        <v>45468.0</v>
      </c>
      <c r="E98" s="145" t="s">
        <v>85</v>
      </c>
      <c r="F98" s="144" t="s">
        <v>83</v>
      </c>
      <c r="G98" s="146">
        <v>76500.0</v>
      </c>
      <c r="H98" s="142">
        <f>H97+IF('활동비지출일별내역'!$B98="수입",'활동비지출일별내역'!$G98,(-1*'활동비지출일별내역'!$G98))</f>
        <v>2758801</v>
      </c>
      <c r="I98" s="144" t="s">
        <v>84</v>
      </c>
      <c r="J98" s="143"/>
    </row>
    <row r="99" ht="19.5" customHeight="1">
      <c r="A99" s="138">
        <v>93.0</v>
      </c>
      <c r="B99" s="139" t="s">
        <v>46</v>
      </c>
      <c r="C99" s="144" t="s">
        <v>59</v>
      </c>
      <c r="D99" s="140">
        <v>45469.0</v>
      </c>
      <c r="E99" s="145" t="s">
        <v>81</v>
      </c>
      <c r="F99" s="144" t="s">
        <v>65</v>
      </c>
      <c r="G99" s="146">
        <v>110.0</v>
      </c>
      <c r="H99" s="142">
        <f>H98+IF('활동비지출일별내역'!$B99="수입",'활동비지출일별내역'!$G99,(-1*'활동비지출일별내역'!$G99))</f>
        <v>2758911</v>
      </c>
      <c r="I99" s="139" t="s">
        <v>80</v>
      </c>
      <c r="J99" s="143"/>
    </row>
    <row r="100" ht="19.5" customHeight="1">
      <c r="A100" s="138">
        <v>94.0</v>
      </c>
      <c r="B100" s="139" t="s">
        <v>46</v>
      </c>
      <c r="C100" s="144" t="s">
        <v>59</v>
      </c>
      <c r="D100" s="140">
        <v>45470.0</v>
      </c>
      <c r="E100" s="145" t="s">
        <v>81</v>
      </c>
      <c r="F100" s="144" t="s">
        <v>65</v>
      </c>
      <c r="G100" s="146">
        <v>110.0</v>
      </c>
      <c r="H100" s="142">
        <f>H99+IF('활동비지출일별내역'!$B100="수입",'활동비지출일별내역'!$G100,(-1*'활동비지출일별내역'!$G100))</f>
        <v>2759021</v>
      </c>
      <c r="I100" s="139" t="s">
        <v>80</v>
      </c>
      <c r="J100" s="143"/>
    </row>
    <row r="101" ht="19.5" customHeight="1">
      <c r="A101" s="138">
        <v>95.0</v>
      </c>
      <c r="B101" s="139" t="s">
        <v>46</v>
      </c>
      <c r="C101" s="144" t="s">
        <v>59</v>
      </c>
      <c r="D101" s="140">
        <v>45471.0</v>
      </c>
      <c r="E101" s="145" t="s">
        <v>81</v>
      </c>
      <c r="F101" s="144" t="s">
        <v>65</v>
      </c>
      <c r="G101" s="146">
        <v>110.0</v>
      </c>
      <c r="H101" s="142">
        <f>H100+IF('활동비지출일별내역'!$B101="수입",'활동비지출일별내역'!$G101,(-1*'활동비지출일별내역'!$G101))</f>
        <v>2759131</v>
      </c>
      <c r="I101" s="139" t="s">
        <v>80</v>
      </c>
      <c r="J101" s="143"/>
    </row>
    <row r="102" ht="19.5" customHeight="1">
      <c r="A102" s="138">
        <v>96.0</v>
      </c>
      <c r="B102" s="139" t="s">
        <v>46</v>
      </c>
      <c r="C102" s="144" t="s">
        <v>59</v>
      </c>
      <c r="D102" s="140">
        <v>45472.0</v>
      </c>
      <c r="E102" s="145" t="s">
        <v>81</v>
      </c>
      <c r="F102" s="144" t="s">
        <v>65</v>
      </c>
      <c r="G102" s="146">
        <v>110.0</v>
      </c>
      <c r="H102" s="142">
        <f>H101+IF('활동비지출일별내역'!$B102="수입",'활동비지출일별내역'!$G102,(-1*'활동비지출일별내역'!$G102))</f>
        <v>2759241</v>
      </c>
      <c r="I102" s="139" t="s">
        <v>80</v>
      </c>
      <c r="J102" s="143"/>
    </row>
    <row r="103" ht="19.5" customHeight="1">
      <c r="A103" s="138">
        <v>97.0</v>
      </c>
      <c r="B103" s="139" t="s">
        <v>46</v>
      </c>
      <c r="C103" s="144" t="s">
        <v>59</v>
      </c>
      <c r="D103" s="140">
        <v>45473.0</v>
      </c>
      <c r="E103" s="145" t="s">
        <v>81</v>
      </c>
      <c r="F103" s="144" t="s">
        <v>65</v>
      </c>
      <c r="G103" s="146">
        <v>110.0</v>
      </c>
      <c r="H103" s="142">
        <f>H102+IF('활동비지출일별내역'!$B103="수입",'활동비지출일별내역'!$G103,(-1*'활동비지출일별내역'!$G103))</f>
        <v>2759351</v>
      </c>
      <c r="I103" s="139" t="s">
        <v>80</v>
      </c>
      <c r="J103" s="143"/>
    </row>
    <row r="104" ht="19.5" customHeight="1">
      <c r="A104" s="138">
        <v>98.0</v>
      </c>
      <c r="B104" s="139" t="s">
        <v>46</v>
      </c>
      <c r="C104" s="144" t="s">
        <v>59</v>
      </c>
      <c r="D104" s="140">
        <v>45474.0</v>
      </c>
      <c r="E104" s="145" t="s">
        <v>81</v>
      </c>
      <c r="F104" s="144" t="s">
        <v>65</v>
      </c>
      <c r="G104" s="146">
        <v>110.0</v>
      </c>
      <c r="H104" s="142">
        <f>H103+IF('활동비지출일별내역'!$B104="수입",'활동비지출일별내역'!$G104,(-1*'활동비지출일별내역'!$G104))</f>
        <v>2759461</v>
      </c>
      <c r="I104" s="139" t="s">
        <v>80</v>
      </c>
      <c r="J104" s="143"/>
    </row>
    <row r="105" ht="19.5" customHeight="1">
      <c r="A105" s="138">
        <v>99.0</v>
      </c>
      <c r="B105" s="139" t="s">
        <v>46</v>
      </c>
      <c r="C105" s="144" t="s">
        <v>59</v>
      </c>
      <c r="D105" s="140">
        <v>45475.0</v>
      </c>
      <c r="E105" s="145" t="s">
        <v>81</v>
      </c>
      <c r="F105" s="144" t="s">
        <v>65</v>
      </c>
      <c r="G105" s="146">
        <v>110.0</v>
      </c>
      <c r="H105" s="142">
        <f>H104+IF('활동비지출일별내역'!$B105="수입",'활동비지출일별내역'!$G105,(-1*'활동비지출일별내역'!$G105))</f>
        <v>2759571</v>
      </c>
      <c r="I105" s="139" t="s">
        <v>80</v>
      </c>
      <c r="J105" s="143"/>
    </row>
    <row r="106" ht="19.5" customHeight="1">
      <c r="A106" s="138">
        <v>100.0</v>
      </c>
      <c r="B106" s="139" t="s">
        <v>46</v>
      </c>
      <c r="C106" s="144" t="s">
        <v>59</v>
      </c>
      <c r="D106" s="140">
        <v>45476.0</v>
      </c>
      <c r="E106" s="145" t="s">
        <v>81</v>
      </c>
      <c r="F106" s="144" t="s">
        <v>65</v>
      </c>
      <c r="G106" s="146">
        <v>110.0</v>
      </c>
      <c r="H106" s="142">
        <f>H105+IF('활동비지출일별내역'!$B106="수입",'활동비지출일별내역'!$G106,(-1*'활동비지출일별내역'!$G106))</f>
        <v>2759681</v>
      </c>
      <c r="I106" s="139" t="s">
        <v>80</v>
      </c>
      <c r="J106" s="143"/>
    </row>
    <row r="107" ht="19.5" customHeight="1">
      <c r="A107" s="138">
        <v>101.0</v>
      </c>
      <c r="B107" s="139" t="s">
        <v>46</v>
      </c>
      <c r="C107" s="144" t="s">
        <v>59</v>
      </c>
      <c r="D107" s="140">
        <v>45477.0</v>
      </c>
      <c r="E107" s="145" t="s">
        <v>81</v>
      </c>
      <c r="F107" s="144" t="s">
        <v>65</v>
      </c>
      <c r="G107" s="146">
        <v>110.0</v>
      </c>
      <c r="H107" s="142">
        <f>H106+IF('활동비지출일별내역'!$B107="수입",'활동비지출일별내역'!$G107,(-1*'활동비지출일별내역'!$G107))</f>
        <v>2759791</v>
      </c>
      <c r="I107" s="139" t="s">
        <v>80</v>
      </c>
      <c r="J107" s="143"/>
    </row>
    <row r="108" ht="19.5" customHeight="1">
      <c r="A108" s="138">
        <v>102.0</v>
      </c>
      <c r="B108" s="139" t="s">
        <v>46</v>
      </c>
      <c r="C108" s="144" t="s">
        <v>59</v>
      </c>
      <c r="D108" s="140">
        <v>45478.0</v>
      </c>
      <c r="E108" s="145" t="s">
        <v>81</v>
      </c>
      <c r="F108" s="144" t="s">
        <v>65</v>
      </c>
      <c r="G108" s="146">
        <v>110.0</v>
      </c>
      <c r="H108" s="142">
        <f>H107+IF('활동비지출일별내역'!$B108="수입",'활동비지출일별내역'!$G108,(-1*'활동비지출일별내역'!$G108))</f>
        <v>2759901</v>
      </c>
      <c r="I108" s="139" t="s">
        <v>80</v>
      </c>
      <c r="J108" s="143"/>
    </row>
    <row r="109" ht="19.5" customHeight="1">
      <c r="A109" s="138">
        <v>103.0</v>
      </c>
      <c r="B109" s="139" t="s">
        <v>46</v>
      </c>
      <c r="C109" s="144" t="s">
        <v>59</v>
      </c>
      <c r="D109" s="140">
        <v>45479.0</v>
      </c>
      <c r="E109" s="145" t="s">
        <v>81</v>
      </c>
      <c r="F109" s="144" t="s">
        <v>65</v>
      </c>
      <c r="G109" s="146">
        <v>110.0</v>
      </c>
      <c r="H109" s="142">
        <f>H108+IF('활동비지출일별내역'!$B109="수입",'활동비지출일별내역'!$G109,(-1*'활동비지출일별내역'!$G109))</f>
        <v>2760011</v>
      </c>
      <c r="I109" s="139" t="s">
        <v>80</v>
      </c>
      <c r="J109" s="143"/>
    </row>
    <row r="110" ht="19.5" customHeight="1">
      <c r="A110" s="138">
        <v>104.0</v>
      </c>
      <c r="B110" s="139" t="s">
        <v>46</v>
      </c>
      <c r="C110" s="144" t="s">
        <v>59</v>
      </c>
      <c r="D110" s="140">
        <v>45480.0</v>
      </c>
      <c r="E110" s="145" t="s">
        <v>81</v>
      </c>
      <c r="F110" s="144" t="s">
        <v>65</v>
      </c>
      <c r="G110" s="146">
        <v>110.0</v>
      </c>
      <c r="H110" s="142">
        <f>H109+IF('활동비지출일별내역'!$B110="수입",'활동비지출일별내역'!$G110,(-1*'활동비지출일별내역'!$G110))</f>
        <v>2760121</v>
      </c>
      <c r="I110" s="139" t="s">
        <v>80</v>
      </c>
      <c r="J110" s="143"/>
    </row>
    <row r="111" ht="19.5" customHeight="1">
      <c r="A111" s="138">
        <v>105.0</v>
      </c>
      <c r="B111" s="139" t="s">
        <v>46</v>
      </c>
      <c r="C111" s="144" t="s">
        <v>59</v>
      </c>
      <c r="D111" s="140">
        <v>45481.0</v>
      </c>
      <c r="E111" s="145" t="s">
        <v>81</v>
      </c>
      <c r="F111" s="144" t="s">
        <v>65</v>
      </c>
      <c r="G111" s="146">
        <v>110.0</v>
      </c>
      <c r="H111" s="142">
        <f>H110+IF('활동비지출일별내역'!$B111="수입",'활동비지출일별내역'!$G111,(-1*'활동비지출일별내역'!$G111))</f>
        <v>2760231</v>
      </c>
      <c r="I111" s="139" t="s">
        <v>80</v>
      </c>
      <c r="J111" s="143"/>
    </row>
    <row r="112" ht="19.5" customHeight="1">
      <c r="A112" s="138">
        <v>106.0</v>
      </c>
      <c r="B112" s="139" t="s">
        <v>46</v>
      </c>
      <c r="C112" s="144" t="s">
        <v>59</v>
      </c>
      <c r="D112" s="140">
        <v>45482.0</v>
      </c>
      <c r="E112" s="145" t="s">
        <v>81</v>
      </c>
      <c r="F112" s="144" t="s">
        <v>65</v>
      </c>
      <c r="G112" s="146">
        <v>110.0</v>
      </c>
      <c r="H112" s="142">
        <f>H111+IF('활동비지출일별내역'!$B112="수입",'활동비지출일별내역'!$G112,(-1*'활동비지출일별내역'!$G112))</f>
        <v>2760341</v>
      </c>
      <c r="I112" s="139" t="s">
        <v>80</v>
      </c>
      <c r="J112" s="143"/>
    </row>
    <row r="113" ht="19.5" customHeight="1">
      <c r="A113" s="138">
        <v>107.0</v>
      </c>
      <c r="B113" s="139" t="s">
        <v>46</v>
      </c>
      <c r="C113" s="144" t="s">
        <v>59</v>
      </c>
      <c r="D113" s="140">
        <v>45483.0</v>
      </c>
      <c r="E113" s="145" t="s">
        <v>81</v>
      </c>
      <c r="F113" s="144" t="s">
        <v>65</v>
      </c>
      <c r="G113" s="146">
        <v>111.0</v>
      </c>
      <c r="H113" s="142">
        <f>H112+IF('활동비지출일별내역'!$B113="수입",'활동비지출일별내역'!$G113,(-1*'활동비지출일별내역'!$G113))</f>
        <v>2760452</v>
      </c>
      <c r="I113" s="139" t="s">
        <v>80</v>
      </c>
      <c r="J113" s="143"/>
    </row>
    <row r="114" ht="19.5" customHeight="1">
      <c r="A114" s="138">
        <v>108.0</v>
      </c>
      <c r="B114" s="139" t="s">
        <v>46</v>
      </c>
      <c r="C114" s="144" t="s">
        <v>59</v>
      </c>
      <c r="D114" s="140">
        <v>45484.0</v>
      </c>
      <c r="E114" s="145" t="s">
        <v>81</v>
      </c>
      <c r="F114" s="144" t="s">
        <v>65</v>
      </c>
      <c r="G114" s="146">
        <v>111.0</v>
      </c>
      <c r="H114" s="142">
        <f>H113+IF('활동비지출일별내역'!$B114="수입",'활동비지출일별내역'!$G114,(-1*'활동비지출일별내역'!$G114))</f>
        <v>2760563</v>
      </c>
      <c r="I114" s="139" t="s">
        <v>80</v>
      </c>
      <c r="J114" s="143"/>
    </row>
    <row r="115" ht="19.5" customHeight="1">
      <c r="A115" s="138">
        <v>109.0</v>
      </c>
      <c r="B115" s="139" t="s">
        <v>46</v>
      </c>
      <c r="C115" s="144" t="s">
        <v>59</v>
      </c>
      <c r="D115" s="140">
        <v>45485.0</v>
      </c>
      <c r="E115" s="145" t="s">
        <v>81</v>
      </c>
      <c r="F115" s="144" t="s">
        <v>65</v>
      </c>
      <c r="G115" s="146">
        <v>111.0</v>
      </c>
      <c r="H115" s="142">
        <f>H114+IF('활동비지출일별내역'!$B115="수입",'활동비지출일별내역'!$G115,(-1*'활동비지출일별내역'!$G115))</f>
        <v>2760674</v>
      </c>
      <c r="I115" s="139" t="s">
        <v>80</v>
      </c>
      <c r="J115" s="143"/>
    </row>
    <row r="116" ht="19.5" customHeight="1">
      <c r="A116" s="138">
        <v>110.0</v>
      </c>
      <c r="B116" s="139" t="s">
        <v>46</v>
      </c>
      <c r="C116" s="144" t="s">
        <v>59</v>
      </c>
      <c r="D116" s="140">
        <v>45486.0</v>
      </c>
      <c r="E116" s="145" t="s">
        <v>81</v>
      </c>
      <c r="F116" s="144" t="s">
        <v>65</v>
      </c>
      <c r="G116" s="146">
        <v>111.0</v>
      </c>
      <c r="H116" s="142">
        <f>H115+IF('활동비지출일별내역'!$B116="수입",'활동비지출일별내역'!$G116,(-1*'활동비지출일별내역'!$G116))</f>
        <v>2760785</v>
      </c>
      <c r="I116" s="139" t="s">
        <v>80</v>
      </c>
      <c r="J116" s="143"/>
    </row>
    <row r="117" ht="19.5" customHeight="1">
      <c r="A117" s="138">
        <v>111.0</v>
      </c>
      <c r="B117" s="139" t="s">
        <v>46</v>
      </c>
      <c r="C117" s="144" t="s">
        <v>59</v>
      </c>
      <c r="D117" s="140">
        <v>45487.0</v>
      </c>
      <c r="E117" s="145" t="s">
        <v>81</v>
      </c>
      <c r="F117" s="144" t="s">
        <v>65</v>
      </c>
      <c r="G117" s="146">
        <v>111.0</v>
      </c>
      <c r="H117" s="142">
        <f>H116+IF('활동비지출일별내역'!$B117="수입",'활동비지출일별내역'!$G117,(-1*'활동비지출일별내역'!$G117))</f>
        <v>2760896</v>
      </c>
      <c r="I117" s="139" t="s">
        <v>80</v>
      </c>
      <c r="J117" s="143"/>
    </row>
    <row r="118" ht="19.5" customHeight="1">
      <c r="A118" s="138">
        <v>112.0</v>
      </c>
      <c r="B118" s="139" t="s">
        <v>46</v>
      </c>
      <c r="C118" s="144" t="s">
        <v>59</v>
      </c>
      <c r="D118" s="140">
        <v>45488.0</v>
      </c>
      <c r="E118" s="145" t="s">
        <v>81</v>
      </c>
      <c r="F118" s="144" t="s">
        <v>65</v>
      </c>
      <c r="G118" s="146">
        <v>111.0</v>
      </c>
      <c r="H118" s="142">
        <f>H117+IF('활동비지출일별내역'!$B118="수입",'활동비지출일별내역'!$G118,(-1*'활동비지출일별내역'!$G118))</f>
        <v>2761007</v>
      </c>
      <c r="I118" s="139" t="s">
        <v>80</v>
      </c>
      <c r="J118" s="143"/>
    </row>
    <row r="119" ht="19.5" customHeight="1">
      <c r="A119" s="138">
        <v>113.0</v>
      </c>
      <c r="B119" s="139" t="s">
        <v>46</v>
      </c>
      <c r="C119" s="144" t="s">
        <v>59</v>
      </c>
      <c r="D119" s="140">
        <v>45489.0</v>
      </c>
      <c r="E119" s="145" t="s">
        <v>81</v>
      </c>
      <c r="F119" s="144" t="s">
        <v>65</v>
      </c>
      <c r="G119" s="146">
        <v>111.0</v>
      </c>
      <c r="H119" s="142">
        <f>H118+IF('활동비지출일별내역'!$B119="수입",'활동비지출일별내역'!$G119,(-1*'활동비지출일별내역'!$G119))</f>
        <v>2761118</v>
      </c>
      <c r="I119" s="139" t="s">
        <v>80</v>
      </c>
      <c r="J119" s="143"/>
    </row>
    <row r="120" ht="19.5" customHeight="1">
      <c r="A120" s="138">
        <v>114.0</v>
      </c>
      <c r="B120" s="144" t="s">
        <v>23</v>
      </c>
      <c r="C120" s="144" t="s">
        <v>37</v>
      </c>
      <c r="D120" s="140">
        <v>45489.0</v>
      </c>
      <c r="E120" s="145" t="s">
        <v>86</v>
      </c>
      <c r="F120" s="144" t="s">
        <v>87</v>
      </c>
      <c r="G120" s="146">
        <v>62945.0</v>
      </c>
      <c r="H120" s="142">
        <f>H119+IF('활동비지출일별내역'!$B120="수입",'활동비지출일별내역'!$G120,(-1*'활동비지출일별내역'!$G120))</f>
        <v>2698173</v>
      </c>
      <c r="I120" s="144" t="s">
        <v>84</v>
      </c>
      <c r="J120" s="143"/>
    </row>
    <row r="121" ht="19.5" customHeight="1">
      <c r="A121" s="138">
        <v>115.0</v>
      </c>
      <c r="B121" s="144" t="s">
        <v>46</v>
      </c>
      <c r="C121" s="144" t="s">
        <v>59</v>
      </c>
      <c r="D121" s="148" t="s">
        <v>88</v>
      </c>
      <c r="E121" s="145" t="s">
        <v>81</v>
      </c>
      <c r="F121" s="144" t="s">
        <v>65</v>
      </c>
      <c r="G121" s="146">
        <v>108.0</v>
      </c>
      <c r="H121" s="142">
        <f>H120+IF('활동비지출일별내역'!$B121="수입",'활동비지출일별내역'!$G121,(-1*'활동비지출일별내역'!$G121))</f>
        <v>2698281</v>
      </c>
      <c r="I121" s="144" t="s">
        <v>80</v>
      </c>
      <c r="J121" s="143"/>
    </row>
    <row r="122" ht="19.5" customHeight="1">
      <c r="A122" s="138">
        <v>116.0</v>
      </c>
      <c r="B122" s="144" t="s">
        <v>23</v>
      </c>
      <c r="C122" s="144" t="s">
        <v>37</v>
      </c>
      <c r="D122" s="148" t="s">
        <v>89</v>
      </c>
      <c r="E122" s="145" t="s">
        <v>90</v>
      </c>
      <c r="F122" s="144" t="s">
        <v>87</v>
      </c>
      <c r="G122" s="146">
        <v>63042.0</v>
      </c>
      <c r="H122" s="142">
        <f>H121+IF('활동비지출일별내역'!$B122="수입",'활동비지출일별내역'!$G122,(-1*'활동비지출일별내역'!$G122))</f>
        <v>2635239</v>
      </c>
      <c r="I122" s="144" t="s">
        <v>84</v>
      </c>
      <c r="J122" s="143"/>
    </row>
    <row r="123" ht="19.5" customHeight="1">
      <c r="A123" s="138">
        <v>117.0</v>
      </c>
      <c r="B123" s="144" t="s">
        <v>46</v>
      </c>
      <c r="C123" s="144" t="s">
        <v>59</v>
      </c>
      <c r="D123" s="148" t="s">
        <v>91</v>
      </c>
      <c r="E123" s="145" t="s">
        <v>81</v>
      </c>
      <c r="F123" s="144" t="s">
        <v>65</v>
      </c>
      <c r="G123" s="146">
        <v>196.0</v>
      </c>
      <c r="H123" s="142">
        <f>H122+IF('활동비지출일별내역'!$B123="수입",'활동비지출일별내역'!$G123,(-1*'활동비지출일별내역'!$G123))</f>
        <v>2635435</v>
      </c>
      <c r="I123" s="144" t="s">
        <v>80</v>
      </c>
      <c r="J123" s="143"/>
    </row>
    <row r="124" ht="19.5" customHeight="1">
      <c r="A124" s="138">
        <v>118.0</v>
      </c>
      <c r="B124" s="144" t="s">
        <v>23</v>
      </c>
      <c r="C124" s="144" t="s">
        <v>40</v>
      </c>
      <c r="D124" s="140">
        <v>45904.0</v>
      </c>
      <c r="E124" s="145" t="s">
        <v>92</v>
      </c>
      <c r="F124" s="144" t="s">
        <v>93</v>
      </c>
      <c r="G124" s="146">
        <v>319200.0</v>
      </c>
      <c r="H124" s="142">
        <f>H123+IF('활동비지출일별내역'!$B124="수입",'활동비지출일별내역'!$G124,(-1*'활동비지출일별내역'!$G124))</f>
        <v>2316235</v>
      </c>
      <c r="I124" s="144" t="s">
        <v>80</v>
      </c>
      <c r="J124" s="143"/>
    </row>
    <row r="125" ht="19.5" customHeight="1">
      <c r="A125" s="138">
        <v>119.0</v>
      </c>
      <c r="B125" s="144" t="s">
        <v>23</v>
      </c>
      <c r="C125" s="144" t="s">
        <v>25</v>
      </c>
      <c r="D125" s="140">
        <v>45911.0</v>
      </c>
      <c r="E125" s="145" t="s">
        <v>94</v>
      </c>
      <c r="F125" s="144" t="s">
        <v>95</v>
      </c>
      <c r="G125" s="146">
        <v>79036.0</v>
      </c>
      <c r="H125" s="142">
        <f>H124+IF('활동비지출일별내역'!$B125="수입",'활동비지출일별내역'!$G125,(-1*'활동비지출일별내역'!$G125))</f>
        <v>2237199</v>
      </c>
      <c r="I125" s="144" t="s">
        <v>84</v>
      </c>
      <c r="J125" s="143"/>
    </row>
    <row r="126" ht="19.5" customHeight="1">
      <c r="A126" s="138">
        <v>120.0</v>
      </c>
      <c r="B126" s="144" t="s">
        <v>23</v>
      </c>
      <c r="C126" s="144" t="s">
        <v>37</v>
      </c>
      <c r="D126" s="140">
        <v>45916.0</v>
      </c>
      <c r="E126" s="145" t="s">
        <v>96</v>
      </c>
      <c r="F126" s="144" t="s">
        <v>87</v>
      </c>
      <c r="G126" s="146">
        <v>31658.0</v>
      </c>
      <c r="H126" s="142">
        <f>H125+IF('활동비지출일별내역'!$B126="수입",'활동비지출일별내역'!$G126,(-1*'활동비지출일별내역'!$G126))</f>
        <v>2205541</v>
      </c>
      <c r="I126" s="144" t="s">
        <v>84</v>
      </c>
      <c r="J126" s="143"/>
    </row>
    <row r="127" ht="19.5" customHeight="1">
      <c r="A127" s="138">
        <v>121.0</v>
      </c>
      <c r="B127" s="144" t="s">
        <v>23</v>
      </c>
      <c r="C127" s="144" t="s">
        <v>33</v>
      </c>
      <c r="D127" s="140">
        <v>45918.0</v>
      </c>
      <c r="E127" s="145" t="s">
        <v>97</v>
      </c>
      <c r="F127" s="144" t="s">
        <v>98</v>
      </c>
      <c r="G127" s="146">
        <v>100000.0</v>
      </c>
      <c r="H127" s="142">
        <f>H126+IF('활동비지출일별내역'!$B127="수입",'활동비지출일별내역'!$G127,(-1*'활동비지출일별내역'!$G127))</f>
        <v>2105541</v>
      </c>
      <c r="I127" s="144" t="s">
        <v>80</v>
      </c>
      <c r="J127" s="143"/>
    </row>
    <row r="128" ht="19.5" customHeight="1">
      <c r="A128" s="138">
        <v>122.0</v>
      </c>
      <c r="B128" s="144" t="s">
        <v>23</v>
      </c>
      <c r="C128" s="144" t="s">
        <v>29</v>
      </c>
      <c r="D128" s="140">
        <v>45918.0</v>
      </c>
      <c r="E128" s="145" t="s">
        <v>99</v>
      </c>
      <c r="F128" s="144" t="s">
        <v>100</v>
      </c>
      <c r="G128" s="146">
        <v>100000.0</v>
      </c>
      <c r="H128" s="142">
        <f>H127+IF('활동비지출일별내역'!$B128="수입",'활동비지출일별내역'!$G128,(-1*'활동비지출일별내역'!$G128))</f>
        <v>2005541</v>
      </c>
      <c r="I128" s="144" t="s">
        <v>80</v>
      </c>
      <c r="J128" s="143"/>
    </row>
    <row r="129" ht="19.5" customHeight="1">
      <c r="A129" s="138">
        <v>123.0</v>
      </c>
      <c r="B129" s="144" t="s">
        <v>23</v>
      </c>
      <c r="C129" s="144" t="s">
        <v>33</v>
      </c>
      <c r="D129" s="140">
        <v>45920.0</v>
      </c>
      <c r="E129" s="145" t="s">
        <v>101</v>
      </c>
      <c r="F129" s="144" t="s">
        <v>102</v>
      </c>
      <c r="G129" s="146">
        <v>100000.0</v>
      </c>
      <c r="H129" s="142">
        <f>H128+IF('활동비지출일별내역'!$B129="수입",'활동비지출일별내역'!$G129,(-1*'활동비지출일별내역'!$G129))</f>
        <v>1905541</v>
      </c>
      <c r="I129" s="144" t="s">
        <v>80</v>
      </c>
      <c r="J129" s="143"/>
    </row>
    <row r="130" ht="19.5" customHeight="1">
      <c r="A130" s="138">
        <v>124.0</v>
      </c>
      <c r="B130" s="144" t="s">
        <v>23</v>
      </c>
      <c r="C130" s="144" t="s">
        <v>33</v>
      </c>
      <c r="D130" s="140">
        <v>45922.0</v>
      </c>
      <c r="E130" s="145" t="s">
        <v>103</v>
      </c>
      <c r="F130" s="144" t="s">
        <v>104</v>
      </c>
      <c r="G130" s="146">
        <v>100000.0</v>
      </c>
      <c r="H130" s="142">
        <f>H129+IF('활동비지출일별내역'!$B130="수입",'활동비지출일별내역'!$G130,(-1*'활동비지출일별내역'!$G130))</f>
        <v>1805541</v>
      </c>
      <c r="I130" s="144" t="s">
        <v>80</v>
      </c>
      <c r="J130" s="143"/>
    </row>
    <row r="131" ht="19.5" customHeight="1">
      <c r="A131" s="138">
        <v>125.0</v>
      </c>
      <c r="B131" s="144" t="s">
        <v>23</v>
      </c>
      <c r="C131" s="144" t="s">
        <v>29</v>
      </c>
      <c r="D131" s="140">
        <v>45922.0</v>
      </c>
      <c r="E131" s="145" t="s">
        <v>105</v>
      </c>
      <c r="F131" s="144" t="s">
        <v>106</v>
      </c>
      <c r="G131" s="146">
        <v>100000.0</v>
      </c>
      <c r="H131" s="142">
        <f>H130+IF('활동비지출일별내역'!$B131="수입",'활동비지출일별내역'!$G131,(-1*'활동비지출일별내역'!$G131))</f>
        <v>1705541</v>
      </c>
      <c r="I131" s="144" t="s">
        <v>80</v>
      </c>
      <c r="J131" s="143"/>
    </row>
    <row r="132" ht="19.5" customHeight="1">
      <c r="A132" s="138">
        <v>126.0</v>
      </c>
      <c r="B132" s="144" t="s">
        <v>23</v>
      </c>
      <c r="C132" s="144" t="s">
        <v>37</v>
      </c>
      <c r="D132" s="140">
        <v>45924.0</v>
      </c>
      <c r="E132" s="145" t="s">
        <v>107</v>
      </c>
      <c r="F132" s="144" t="s">
        <v>108</v>
      </c>
      <c r="G132" s="146">
        <v>310080.0</v>
      </c>
      <c r="H132" s="142">
        <f>H131+IF('활동비지출일별내역'!$B132="수입",'활동비지출일별내역'!$G132,(-1*'활동비지출일별내역'!$G132))</f>
        <v>1395461</v>
      </c>
      <c r="I132" s="144" t="s">
        <v>80</v>
      </c>
      <c r="J132" s="143"/>
    </row>
    <row r="133" ht="19.5" customHeight="1">
      <c r="A133" s="138">
        <v>127.0</v>
      </c>
      <c r="B133" s="144" t="s">
        <v>23</v>
      </c>
      <c r="C133" s="144" t="s">
        <v>25</v>
      </c>
      <c r="D133" s="140">
        <v>45924.0</v>
      </c>
      <c r="E133" s="145" t="s">
        <v>109</v>
      </c>
      <c r="F133" s="144" t="s">
        <v>110</v>
      </c>
      <c r="G133" s="146">
        <v>27600.0</v>
      </c>
      <c r="H133" s="142">
        <f>H132+IF('활동비지출일별내역'!$B133="수입",'활동비지출일별내역'!$G133,(-1*'활동비지출일별내역'!$G133))</f>
        <v>1367861</v>
      </c>
      <c r="I133" s="144" t="s">
        <v>84</v>
      </c>
      <c r="J133" s="143"/>
    </row>
    <row r="134" ht="19.5" customHeight="1">
      <c r="A134" s="138">
        <v>128.0</v>
      </c>
      <c r="B134" s="144" t="s">
        <v>23</v>
      </c>
      <c r="C134" s="144" t="s">
        <v>33</v>
      </c>
      <c r="D134" s="140">
        <v>45925.0</v>
      </c>
      <c r="E134" s="145" t="s">
        <v>111</v>
      </c>
      <c r="F134" s="144" t="s">
        <v>112</v>
      </c>
      <c r="G134" s="146">
        <v>100000.0</v>
      </c>
      <c r="H134" s="142">
        <f>H133+IF('활동비지출일별내역'!$B134="수입",'활동비지출일별내역'!$G134,(-1*'활동비지출일별내역'!$G134))</f>
        <v>1267861</v>
      </c>
      <c r="I134" s="144" t="s">
        <v>80</v>
      </c>
      <c r="J134" s="143"/>
    </row>
    <row r="135" ht="19.5" customHeight="1">
      <c r="A135" s="138">
        <v>129.0</v>
      </c>
      <c r="B135" s="144" t="s">
        <v>23</v>
      </c>
      <c r="C135" s="144" t="s">
        <v>33</v>
      </c>
      <c r="D135" s="140">
        <v>45925.0</v>
      </c>
      <c r="E135" s="145" t="s">
        <v>113</v>
      </c>
      <c r="F135" s="144" t="s">
        <v>114</v>
      </c>
      <c r="G135" s="146">
        <v>100000.0</v>
      </c>
      <c r="H135" s="142">
        <f>H134+IF('활동비지출일별내역'!$B135="수입",'활동비지출일별내역'!$G135,(-1*'활동비지출일별내역'!$G135))</f>
        <v>1167861</v>
      </c>
      <c r="I135" s="144" t="s">
        <v>80</v>
      </c>
      <c r="J135" s="143"/>
    </row>
    <row r="136" ht="19.5" customHeight="1">
      <c r="A136" s="138">
        <v>130.0</v>
      </c>
      <c r="B136" s="144" t="s">
        <v>23</v>
      </c>
      <c r="C136" s="144" t="s">
        <v>33</v>
      </c>
      <c r="D136" s="140">
        <v>45925.0</v>
      </c>
      <c r="E136" s="145" t="s">
        <v>115</v>
      </c>
      <c r="F136" s="144" t="s">
        <v>116</v>
      </c>
      <c r="G136" s="146">
        <v>100000.0</v>
      </c>
      <c r="H136" s="142">
        <f>H135+IF('활동비지출일별내역'!$B136="수입",'활동비지출일별내역'!$G136,(-1*'활동비지출일별내역'!$G136))</f>
        <v>1067861</v>
      </c>
      <c r="I136" s="144" t="s">
        <v>80</v>
      </c>
      <c r="J136" s="143"/>
    </row>
    <row r="137" ht="19.5" customHeight="1">
      <c r="A137" s="138">
        <v>131.0</v>
      </c>
      <c r="B137" s="144" t="s">
        <v>23</v>
      </c>
      <c r="C137" s="144" t="s">
        <v>33</v>
      </c>
      <c r="D137" s="140">
        <v>45927.0</v>
      </c>
      <c r="E137" s="145" t="s">
        <v>117</v>
      </c>
      <c r="F137" s="144" t="s">
        <v>118</v>
      </c>
      <c r="G137" s="146">
        <v>100000.0</v>
      </c>
      <c r="H137" s="142">
        <f>H136+IF('활동비지출일별내역'!$B137="수입",'활동비지출일별내역'!$G137,(-1*'활동비지출일별내역'!$G137))</f>
        <v>967861</v>
      </c>
      <c r="I137" s="144" t="s">
        <v>80</v>
      </c>
      <c r="J137" s="143"/>
    </row>
    <row r="138" ht="19.5" customHeight="1">
      <c r="A138" s="138">
        <v>132.0</v>
      </c>
      <c r="B138" s="144" t="s">
        <v>23</v>
      </c>
      <c r="C138" s="144" t="s">
        <v>33</v>
      </c>
      <c r="D138" s="140">
        <v>45929.0</v>
      </c>
      <c r="E138" s="145" t="s">
        <v>119</v>
      </c>
      <c r="F138" s="144" t="s">
        <v>120</v>
      </c>
      <c r="G138" s="146">
        <v>100000.0</v>
      </c>
      <c r="H138" s="142">
        <f>H137+IF('활동비지출일별내역'!$B138="수입",'활동비지출일별내역'!$G138,(-1*'활동비지출일별내역'!$G138))</f>
        <v>867861</v>
      </c>
      <c r="I138" s="144" t="s">
        <v>80</v>
      </c>
      <c r="J138" s="143"/>
    </row>
    <row r="139" ht="19.5" customHeight="1">
      <c r="A139" s="138">
        <v>133.0</v>
      </c>
      <c r="B139" s="144" t="s">
        <v>23</v>
      </c>
      <c r="C139" s="144" t="s">
        <v>33</v>
      </c>
      <c r="D139" s="140">
        <v>45929.0</v>
      </c>
      <c r="E139" s="145" t="s">
        <v>121</v>
      </c>
      <c r="F139" s="144" t="s">
        <v>122</v>
      </c>
      <c r="G139" s="146">
        <v>100000.0</v>
      </c>
      <c r="H139" s="142">
        <f>H138+IF('활동비지출일별내역'!$B139="수입",'활동비지출일별내역'!$G139,(-1*'활동비지출일별내역'!$G139))</f>
        <v>767861</v>
      </c>
      <c r="I139" s="144" t="s">
        <v>80</v>
      </c>
      <c r="J139" s="143"/>
    </row>
    <row r="140" ht="19.5" customHeight="1">
      <c r="A140" s="138">
        <v>134.0</v>
      </c>
      <c r="B140" s="144" t="s">
        <v>23</v>
      </c>
      <c r="C140" s="144" t="s">
        <v>33</v>
      </c>
      <c r="D140" s="140">
        <v>45929.0</v>
      </c>
      <c r="E140" s="145" t="s">
        <v>123</v>
      </c>
      <c r="F140" s="144" t="s">
        <v>124</v>
      </c>
      <c r="G140" s="146">
        <v>100000.0</v>
      </c>
      <c r="H140" s="142">
        <f>H139+IF('활동비지출일별내역'!$B140="수입",'활동비지출일별내역'!$G140,(-1*'활동비지출일별내역'!$G140))</f>
        <v>667861</v>
      </c>
      <c r="I140" s="144" t="s">
        <v>80</v>
      </c>
      <c r="J140" s="143"/>
    </row>
    <row r="141" ht="19.5" customHeight="1">
      <c r="A141" s="138">
        <v>135.0</v>
      </c>
      <c r="B141" s="144" t="s">
        <v>46</v>
      </c>
      <c r="C141" s="144" t="s">
        <v>59</v>
      </c>
      <c r="D141" s="148" t="s">
        <v>125</v>
      </c>
      <c r="E141" s="145" t="s">
        <v>81</v>
      </c>
      <c r="F141" s="144" t="s">
        <v>65</v>
      </c>
      <c r="G141" s="146">
        <v>138.0</v>
      </c>
      <c r="H141" s="142">
        <f>H140+IF('활동비지출일별내역'!$B141="수입",'활동비지출일별내역'!$G141,(-1*'활동비지출일별내역'!$G141))</f>
        <v>667999</v>
      </c>
      <c r="I141" s="144" t="s">
        <v>80</v>
      </c>
      <c r="J141" s="143"/>
    </row>
    <row r="142" ht="19.5" customHeight="1">
      <c r="A142" s="138">
        <v>136.0</v>
      </c>
      <c r="B142" s="144" t="s">
        <v>23</v>
      </c>
      <c r="C142" s="144" t="s">
        <v>43</v>
      </c>
      <c r="D142" s="148" t="s">
        <v>55</v>
      </c>
      <c r="E142" s="145" t="s">
        <v>126</v>
      </c>
      <c r="F142" s="144" t="s">
        <v>79</v>
      </c>
      <c r="G142" s="146">
        <v>60720.0</v>
      </c>
      <c r="H142" s="142">
        <f>H141+IF('활동비지출일별내역'!$B142="수입",'활동비지출일별내역'!$G142,(-1*'활동비지출일별내역'!$G142))</f>
        <v>607279</v>
      </c>
      <c r="I142" s="144" t="s">
        <v>80</v>
      </c>
      <c r="J142" s="149" t="s">
        <v>43</v>
      </c>
    </row>
    <row r="143" ht="19.5" customHeight="1">
      <c r="A143" s="138">
        <v>137.0</v>
      </c>
      <c r="B143" s="139"/>
      <c r="C143" s="139"/>
      <c r="D143" s="150"/>
      <c r="E143" s="145"/>
      <c r="F143" s="144"/>
      <c r="G143" s="142"/>
      <c r="H143" s="142">
        <f>H142+IF('활동비지출일별내역'!$B143="수입",'활동비지출일별내역'!$G143,(-1*'활동비지출일별내역'!$G143))</f>
        <v>607279</v>
      </c>
      <c r="I143" s="139"/>
      <c r="J143" s="143"/>
    </row>
    <row r="144" ht="19.5" customHeight="1">
      <c r="A144" s="138">
        <v>138.0</v>
      </c>
      <c r="B144" s="139"/>
      <c r="C144" s="139"/>
      <c r="D144" s="150"/>
      <c r="E144" s="141"/>
      <c r="F144" s="139"/>
      <c r="G144" s="142"/>
      <c r="H144" s="142">
        <f>H143+IF('활동비지출일별내역'!$B144="수입",'활동비지출일별내역'!$G144,(-1*'활동비지출일별내역'!$G144))</f>
        <v>607279</v>
      </c>
      <c r="I144" s="139"/>
      <c r="J144" s="143"/>
    </row>
    <row r="145" ht="19.5" customHeight="1">
      <c r="A145" s="138">
        <v>139.0</v>
      </c>
      <c r="B145" s="139"/>
      <c r="C145" s="139"/>
      <c r="D145" s="150"/>
      <c r="E145" s="141"/>
      <c r="F145" s="139"/>
      <c r="G145" s="142"/>
      <c r="H145" s="142">
        <f>H144+IF('활동비지출일별내역'!$B145="수입",'활동비지출일별내역'!$G145,(-1*'활동비지출일별내역'!$G145))</f>
        <v>607279</v>
      </c>
      <c r="I145" s="139"/>
      <c r="J145" s="143"/>
    </row>
    <row r="146" ht="19.5" customHeight="1">
      <c r="A146" s="138">
        <v>140.0</v>
      </c>
      <c r="B146" s="139"/>
      <c r="C146" s="139"/>
      <c r="D146" s="150"/>
      <c r="E146" s="141"/>
      <c r="F146" s="139"/>
      <c r="G146" s="142"/>
      <c r="H146" s="142">
        <f>H145+IF('활동비지출일별내역'!$B146="수입",'활동비지출일별내역'!$G146,(-1*'활동비지출일별내역'!$G146))</f>
        <v>607279</v>
      </c>
      <c r="I146" s="139"/>
      <c r="J146" s="143"/>
    </row>
    <row r="147" ht="19.5" customHeight="1">
      <c r="A147" s="138">
        <v>141.0</v>
      </c>
      <c r="B147" s="139"/>
      <c r="C147" s="139"/>
      <c r="D147" s="150"/>
      <c r="E147" s="141"/>
      <c r="F147" s="139"/>
      <c r="G147" s="142"/>
      <c r="H147" s="142">
        <f>H146+IF('활동비지출일별내역'!$B147="수입",'활동비지출일별내역'!$G147,(-1*'활동비지출일별내역'!$G147))</f>
        <v>607279</v>
      </c>
      <c r="I147" s="139"/>
      <c r="J147" s="143"/>
    </row>
    <row r="148" ht="19.5" customHeight="1">
      <c r="A148" s="138">
        <v>142.0</v>
      </c>
      <c r="B148" s="139"/>
      <c r="C148" s="139"/>
      <c r="D148" s="150"/>
      <c r="E148" s="141"/>
      <c r="F148" s="139"/>
      <c r="G148" s="142"/>
      <c r="H148" s="142">
        <f>H147+IF('활동비지출일별내역'!$B148="수입",'활동비지출일별내역'!$G148,(-1*'활동비지출일별내역'!$G148))</f>
        <v>607279</v>
      </c>
      <c r="I148" s="139"/>
      <c r="J148" s="143"/>
    </row>
    <row r="149" ht="19.5" customHeight="1">
      <c r="A149" s="138">
        <v>143.0</v>
      </c>
      <c r="B149" s="139"/>
      <c r="C149" s="139"/>
      <c r="D149" s="150"/>
      <c r="E149" s="141"/>
      <c r="F149" s="139"/>
      <c r="G149" s="142"/>
      <c r="H149" s="142">
        <f>H148+IF('활동비지출일별내역'!$B149="수입",'활동비지출일별내역'!$G149,(-1*'활동비지출일별내역'!$G149))</f>
        <v>607279</v>
      </c>
      <c r="I149" s="139"/>
      <c r="J149" s="143"/>
    </row>
    <row r="150" ht="19.5" customHeight="1">
      <c r="A150" s="138">
        <v>144.0</v>
      </c>
      <c r="B150" s="139"/>
      <c r="C150" s="139"/>
      <c r="D150" s="150"/>
      <c r="E150" s="141"/>
      <c r="F150" s="139"/>
      <c r="G150" s="142"/>
      <c r="H150" s="142">
        <f>H149+IF('활동비지출일별내역'!$B150="수입",'활동비지출일별내역'!$G150,(-1*'활동비지출일별내역'!$G150))</f>
        <v>607279</v>
      </c>
      <c r="I150" s="139"/>
      <c r="J150" s="143"/>
    </row>
    <row r="151" ht="19.5" customHeight="1">
      <c r="A151" s="138">
        <v>145.0</v>
      </c>
      <c r="B151" s="139"/>
      <c r="C151" s="139"/>
      <c r="D151" s="150"/>
      <c r="E151" s="141"/>
      <c r="F151" s="139"/>
      <c r="G151" s="142"/>
      <c r="H151" s="142">
        <f>H150+IF('활동비지출일별내역'!$B151="수입",'활동비지출일별내역'!$G151,(-1*'활동비지출일별내역'!$G151))</f>
        <v>607279</v>
      </c>
      <c r="I151" s="139"/>
      <c r="J151" s="143"/>
    </row>
    <row r="152" ht="19.5" customHeight="1">
      <c r="A152" s="138">
        <v>146.0</v>
      </c>
      <c r="B152" s="139"/>
      <c r="C152" s="139"/>
      <c r="D152" s="150"/>
      <c r="E152" s="141"/>
      <c r="F152" s="139"/>
      <c r="G152" s="142"/>
      <c r="H152" s="142">
        <f>H151+IF('활동비지출일별내역'!$B152="수입",'활동비지출일별내역'!$G152,(-1*'활동비지출일별내역'!$G152))</f>
        <v>607279</v>
      </c>
      <c r="I152" s="139"/>
      <c r="J152" s="143"/>
    </row>
    <row r="153" ht="19.5" customHeight="1">
      <c r="A153" s="138">
        <v>147.0</v>
      </c>
      <c r="B153" s="139"/>
      <c r="C153" s="139"/>
      <c r="D153" s="150"/>
      <c r="E153" s="141"/>
      <c r="F153" s="139"/>
      <c r="G153" s="142"/>
      <c r="H153" s="142">
        <f>H152+IF('활동비지출일별내역'!$B153="수입",'활동비지출일별내역'!$G153,(-1*'활동비지출일별내역'!$G153))</f>
        <v>607279</v>
      </c>
      <c r="I153" s="139"/>
      <c r="J153" s="143"/>
    </row>
    <row r="154" ht="19.5" customHeight="1">
      <c r="A154" s="138">
        <v>148.0</v>
      </c>
      <c r="B154" s="139"/>
      <c r="C154" s="139"/>
      <c r="D154" s="150"/>
      <c r="E154" s="141"/>
      <c r="F154" s="139"/>
      <c r="G154" s="142"/>
      <c r="H154" s="142">
        <f>H153+IF('활동비지출일별내역'!$B154="수입",'활동비지출일별내역'!$G154,(-1*'활동비지출일별내역'!$G154))</f>
        <v>607279</v>
      </c>
      <c r="I154" s="139"/>
      <c r="J154" s="143"/>
    </row>
    <row r="155" ht="19.5" customHeight="1">
      <c r="A155" s="138">
        <v>149.0</v>
      </c>
      <c r="B155" s="139"/>
      <c r="C155" s="139"/>
      <c r="D155" s="150"/>
      <c r="E155" s="141"/>
      <c r="F155" s="139"/>
      <c r="G155" s="142"/>
      <c r="H155" s="142">
        <f>H154+IF('활동비지출일별내역'!$B155="수입",'활동비지출일별내역'!$G155,(-1*'활동비지출일별내역'!$G155))</f>
        <v>607279</v>
      </c>
      <c r="I155" s="139"/>
      <c r="J155" s="143"/>
    </row>
    <row r="156" ht="19.5" customHeight="1">
      <c r="A156" s="138">
        <v>150.0</v>
      </c>
      <c r="B156" s="139"/>
      <c r="C156" s="139"/>
      <c r="D156" s="150"/>
      <c r="E156" s="141"/>
      <c r="F156" s="139"/>
      <c r="G156" s="142"/>
      <c r="H156" s="142">
        <f>H155+IF('활동비지출일별내역'!$B156="수입",'활동비지출일별내역'!$G156,(-1*'활동비지출일별내역'!$G156))</f>
        <v>607279</v>
      </c>
      <c r="I156" s="139"/>
      <c r="J156" s="143"/>
    </row>
    <row r="157" ht="19.5" customHeight="1">
      <c r="A157" s="138">
        <v>151.0</v>
      </c>
      <c r="B157" s="139"/>
      <c r="C157" s="139"/>
      <c r="D157" s="150"/>
      <c r="E157" s="141"/>
      <c r="F157" s="139"/>
      <c r="G157" s="142"/>
      <c r="H157" s="142">
        <f>H156+IF('활동비지출일별내역'!$B157="수입",'활동비지출일별내역'!$G157,(-1*'활동비지출일별내역'!$G157))</f>
        <v>607279</v>
      </c>
      <c r="I157" s="139"/>
      <c r="J157" s="143"/>
    </row>
    <row r="158" ht="19.5" customHeight="1">
      <c r="A158" s="138">
        <v>152.0</v>
      </c>
      <c r="B158" s="139"/>
      <c r="C158" s="139"/>
      <c r="D158" s="150"/>
      <c r="E158" s="141"/>
      <c r="F158" s="139"/>
      <c r="G158" s="142"/>
      <c r="H158" s="142">
        <f>H157+IF('활동비지출일별내역'!$B158="수입",'활동비지출일별내역'!$G158,(-1*'활동비지출일별내역'!$G158))</f>
        <v>607279</v>
      </c>
      <c r="I158" s="139"/>
      <c r="J158" s="143"/>
    </row>
    <row r="159" ht="19.5" customHeight="1">
      <c r="A159" s="138">
        <v>153.0</v>
      </c>
      <c r="B159" s="139"/>
      <c r="C159" s="139"/>
      <c r="D159" s="150"/>
      <c r="E159" s="141"/>
      <c r="F159" s="139"/>
      <c r="G159" s="142"/>
      <c r="H159" s="142">
        <f>H158+IF('활동비지출일별내역'!$B159="수입",'활동비지출일별내역'!$G159,(-1*'활동비지출일별내역'!$G159))</f>
        <v>607279</v>
      </c>
      <c r="I159" s="139"/>
      <c r="J159" s="143"/>
    </row>
    <row r="160" ht="19.5" customHeight="1">
      <c r="A160" s="138">
        <v>154.0</v>
      </c>
      <c r="B160" s="139"/>
      <c r="C160" s="139"/>
      <c r="D160" s="150"/>
      <c r="E160" s="141"/>
      <c r="F160" s="139"/>
      <c r="G160" s="142"/>
      <c r="H160" s="142">
        <f>H159+IF('활동비지출일별내역'!$B160="수입",'활동비지출일별내역'!$G160,(-1*'활동비지출일별내역'!$G160))</f>
        <v>607279</v>
      </c>
      <c r="I160" s="139"/>
      <c r="J160" s="143"/>
    </row>
    <row r="161" ht="19.5" customHeight="1">
      <c r="A161" s="138">
        <v>155.0</v>
      </c>
      <c r="B161" s="139"/>
      <c r="C161" s="139"/>
      <c r="D161" s="150"/>
      <c r="E161" s="141"/>
      <c r="F161" s="139"/>
      <c r="G161" s="142"/>
      <c r="H161" s="142">
        <f>H160+IF('활동비지출일별내역'!$B161="수입",'활동비지출일별내역'!$G161,(-1*'활동비지출일별내역'!$G161))</f>
        <v>607279</v>
      </c>
      <c r="I161" s="139"/>
      <c r="J161" s="143"/>
    </row>
    <row r="162" ht="19.5" customHeight="1">
      <c r="A162" s="138">
        <v>156.0</v>
      </c>
      <c r="B162" s="139"/>
      <c r="C162" s="139"/>
      <c r="D162" s="150"/>
      <c r="E162" s="141"/>
      <c r="F162" s="139"/>
      <c r="G162" s="142"/>
      <c r="H162" s="142">
        <f>H161+IF('활동비지출일별내역'!$B162="수입",'활동비지출일별내역'!$G162,(-1*'활동비지출일별내역'!$G162))</f>
        <v>607279</v>
      </c>
      <c r="I162" s="139"/>
      <c r="J162" s="143"/>
    </row>
    <row r="163" ht="19.5" customHeight="1">
      <c r="A163" s="138">
        <v>157.0</v>
      </c>
      <c r="B163" s="139"/>
      <c r="C163" s="139"/>
      <c r="D163" s="150"/>
      <c r="E163" s="141"/>
      <c r="F163" s="139"/>
      <c r="G163" s="142"/>
      <c r="H163" s="142">
        <f>H162+IF('활동비지출일별내역'!$B163="수입",'활동비지출일별내역'!$G163,(-1*'활동비지출일별내역'!$G163))</f>
        <v>607279</v>
      </c>
      <c r="I163" s="139"/>
      <c r="J163" s="143"/>
    </row>
    <row r="164" ht="19.5" customHeight="1">
      <c r="A164" s="138">
        <v>158.0</v>
      </c>
      <c r="B164" s="139"/>
      <c r="C164" s="139"/>
      <c r="D164" s="150"/>
      <c r="E164" s="141"/>
      <c r="F164" s="139"/>
      <c r="G164" s="142"/>
      <c r="H164" s="142">
        <f>H163+IF('활동비지출일별내역'!$B164="수입",'활동비지출일별내역'!$G164,(-1*'활동비지출일별내역'!$G164))</f>
        <v>607279</v>
      </c>
      <c r="I164" s="139"/>
      <c r="J164" s="143"/>
    </row>
    <row r="165" ht="19.5" customHeight="1">
      <c r="A165" s="138">
        <v>159.0</v>
      </c>
      <c r="B165" s="139"/>
      <c r="C165" s="139"/>
      <c r="D165" s="150"/>
      <c r="E165" s="141"/>
      <c r="F165" s="139"/>
      <c r="G165" s="142"/>
      <c r="H165" s="142">
        <f>H164+IF('활동비지출일별내역'!$B165="수입",'활동비지출일별내역'!$G165,(-1*'활동비지출일별내역'!$G165))</f>
        <v>607279</v>
      </c>
      <c r="I165" s="139"/>
      <c r="J165" s="143"/>
    </row>
    <row r="166" ht="19.5" customHeight="1">
      <c r="A166" s="138">
        <v>160.0</v>
      </c>
      <c r="B166" s="139"/>
      <c r="C166" s="139"/>
      <c r="D166" s="150"/>
      <c r="E166" s="141"/>
      <c r="F166" s="139"/>
      <c r="G166" s="142"/>
      <c r="H166" s="142">
        <f>H165+IF('활동비지출일별내역'!$B166="수입",'활동비지출일별내역'!$G166,(-1*'활동비지출일별내역'!$G166))</f>
        <v>607279</v>
      </c>
      <c r="I166" s="139"/>
      <c r="J166" s="143"/>
    </row>
    <row r="167" ht="19.5" customHeight="1">
      <c r="A167" s="138">
        <v>161.0</v>
      </c>
      <c r="B167" s="139"/>
      <c r="C167" s="139"/>
      <c r="D167" s="150"/>
      <c r="E167" s="141"/>
      <c r="F167" s="139"/>
      <c r="G167" s="142"/>
      <c r="H167" s="142">
        <f>H166+IF('활동비지출일별내역'!$B167="수입",'활동비지출일별내역'!$G167,(-1*'활동비지출일별내역'!$G167))</f>
        <v>607279</v>
      </c>
      <c r="I167" s="139"/>
      <c r="J167" s="143"/>
    </row>
    <row r="168" ht="19.5" customHeight="1">
      <c r="A168" s="138">
        <v>162.0</v>
      </c>
      <c r="B168" s="138"/>
      <c r="C168" s="138"/>
      <c r="D168" s="151"/>
      <c r="E168" s="152"/>
      <c r="F168" s="138"/>
      <c r="G168" s="153"/>
      <c r="H168" s="153">
        <f>H167+IF('활동비지출일별내역'!$B168="수입",'활동비지출일별내역'!$G168,(-1*'활동비지출일별내역'!$G168))</f>
        <v>607279</v>
      </c>
      <c r="I168" s="138"/>
      <c r="J168" s="154"/>
    </row>
    <row r="169" ht="19.5" customHeight="1">
      <c r="A169" s="138">
        <v>163.0</v>
      </c>
      <c r="B169" s="155"/>
      <c r="C169" s="155"/>
      <c r="D169" s="3"/>
      <c r="E169" s="156"/>
      <c r="F169" s="155"/>
      <c r="G169" s="157"/>
      <c r="H169" s="153">
        <f>H168+IF('활동비지출일별내역'!$B169="수입",'활동비지출일별내역'!$G169,(-1*'활동비지출일별내역'!$G169))</f>
        <v>607279</v>
      </c>
      <c r="I169" s="155"/>
      <c r="J169" s="3"/>
    </row>
    <row r="170" ht="19.5" customHeight="1">
      <c r="A170" s="155"/>
      <c r="B170" s="155"/>
      <c r="C170" s="155"/>
      <c r="D170" s="3"/>
      <c r="E170" s="156"/>
      <c r="F170" s="155"/>
      <c r="G170" s="3"/>
      <c r="I170" s="155"/>
      <c r="J170" s="3"/>
    </row>
    <row r="171" ht="19.5" customHeight="1">
      <c r="A171" s="155"/>
      <c r="B171" s="155"/>
      <c r="C171" s="155"/>
      <c r="D171" s="3"/>
      <c r="E171" s="156"/>
      <c r="F171" s="155"/>
      <c r="G171" s="3"/>
      <c r="I171" s="155"/>
      <c r="J171" s="3"/>
    </row>
    <row r="172" ht="19.5" customHeight="1">
      <c r="A172" s="155"/>
      <c r="B172" s="155"/>
      <c r="C172" s="155"/>
      <c r="D172" s="3"/>
      <c r="E172" s="156"/>
      <c r="F172" s="155"/>
      <c r="G172" s="3"/>
      <c r="I172" s="155"/>
      <c r="J172" s="3"/>
    </row>
    <row r="173" ht="19.5" customHeight="1">
      <c r="A173" s="155"/>
      <c r="B173" s="155"/>
      <c r="C173" s="155"/>
      <c r="D173" s="3"/>
      <c r="E173" s="156"/>
      <c r="F173" s="155"/>
      <c r="G173" s="3"/>
      <c r="I173" s="155"/>
      <c r="J173" s="3"/>
    </row>
    <row r="174" ht="19.5" customHeight="1">
      <c r="A174" s="155"/>
      <c r="B174" s="155"/>
      <c r="C174" s="155"/>
      <c r="D174" s="3"/>
      <c r="E174" s="156"/>
      <c r="F174" s="155"/>
      <c r="G174" s="3"/>
      <c r="I174" s="155"/>
      <c r="J174" s="3"/>
    </row>
    <row r="175" ht="19.5" customHeight="1">
      <c r="A175" s="155"/>
      <c r="B175" s="155"/>
      <c r="C175" s="155"/>
      <c r="D175" s="3"/>
      <c r="E175" s="156"/>
      <c r="F175" s="155"/>
      <c r="G175" s="3"/>
      <c r="I175" s="155"/>
      <c r="J175" s="3"/>
    </row>
    <row r="176" ht="19.5" customHeight="1">
      <c r="A176" s="155"/>
      <c r="B176" s="155"/>
      <c r="C176" s="155"/>
      <c r="D176" s="3"/>
      <c r="E176" s="156"/>
      <c r="F176" s="155"/>
      <c r="G176" s="3"/>
      <c r="I176" s="155"/>
      <c r="J176" s="3"/>
    </row>
    <row r="177" ht="19.5" customHeight="1">
      <c r="A177" s="155"/>
      <c r="B177" s="155"/>
      <c r="C177" s="155"/>
      <c r="D177" s="3"/>
      <c r="E177" s="156"/>
      <c r="F177" s="155"/>
      <c r="G177" s="3"/>
      <c r="I177" s="155"/>
      <c r="J177" s="3"/>
    </row>
    <row r="178" ht="19.5" customHeight="1">
      <c r="A178" s="155"/>
      <c r="B178" s="155"/>
      <c r="C178" s="155"/>
      <c r="D178" s="3"/>
      <c r="E178" s="156"/>
      <c r="F178" s="155"/>
      <c r="G178" s="3"/>
      <c r="I178" s="155"/>
      <c r="J178" s="3"/>
    </row>
    <row r="179" ht="19.5" customHeight="1">
      <c r="A179" s="155"/>
      <c r="B179" s="155"/>
      <c r="C179" s="155"/>
      <c r="D179" s="3"/>
      <c r="E179" s="156"/>
      <c r="F179" s="155"/>
      <c r="G179" s="3"/>
      <c r="I179" s="155"/>
      <c r="J179" s="3"/>
    </row>
    <row r="180" ht="19.5" customHeight="1">
      <c r="A180" s="155"/>
      <c r="B180" s="155"/>
      <c r="C180" s="155"/>
      <c r="D180" s="3"/>
      <c r="E180" s="156"/>
      <c r="F180" s="155"/>
      <c r="G180" s="3"/>
      <c r="I180" s="155"/>
      <c r="J180" s="3"/>
    </row>
    <row r="181" ht="19.5" customHeight="1">
      <c r="A181" s="155"/>
      <c r="B181" s="155"/>
      <c r="C181" s="155"/>
      <c r="D181" s="3"/>
      <c r="E181" s="156"/>
      <c r="F181" s="155"/>
      <c r="G181" s="3"/>
      <c r="I181" s="155"/>
      <c r="J181" s="3"/>
    </row>
    <row r="182" ht="19.5" customHeight="1">
      <c r="A182" s="155"/>
      <c r="B182" s="155"/>
      <c r="C182" s="155"/>
      <c r="D182" s="3"/>
      <c r="E182" s="156"/>
      <c r="F182" s="155"/>
      <c r="G182" s="3"/>
      <c r="I182" s="155"/>
      <c r="J182" s="3"/>
    </row>
    <row r="183" ht="19.5" customHeight="1">
      <c r="A183" s="155"/>
      <c r="B183" s="155"/>
      <c r="C183" s="155"/>
      <c r="D183" s="3"/>
      <c r="E183" s="156"/>
      <c r="F183" s="155"/>
      <c r="G183" s="3"/>
      <c r="I183" s="155"/>
      <c r="J183" s="3"/>
    </row>
    <row r="184" ht="12.0" customHeight="1">
      <c r="A184" s="155"/>
      <c r="B184" s="155"/>
      <c r="C184" s="155"/>
      <c r="D184" s="3"/>
      <c r="E184" s="156"/>
      <c r="F184" s="155"/>
      <c r="G184" s="3"/>
      <c r="I184" s="155"/>
      <c r="J184" s="3"/>
    </row>
    <row r="185" ht="12.0" customHeight="1">
      <c r="A185" s="155"/>
      <c r="B185" s="155"/>
      <c r="C185" s="155"/>
      <c r="D185" s="3"/>
      <c r="E185" s="156"/>
      <c r="F185" s="155"/>
      <c r="G185" s="3"/>
      <c r="I185" s="155"/>
      <c r="J185" s="3"/>
    </row>
    <row r="186" ht="12.0" customHeight="1">
      <c r="A186" s="155"/>
      <c r="B186" s="155"/>
      <c r="C186" s="155"/>
      <c r="D186" s="3"/>
      <c r="E186" s="3"/>
      <c r="F186" s="155"/>
      <c r="G186" s="3"/>
      <c r="I186" s="155"/>
      <c r="J186" s="3"/>
    </row>
    <row r="187" ht="12.0" customHeight="1">
      <c r="A187" s="155"/>
      <c r="B187" s="155"/>
      <c r="C187" s="155"/>
      <c r="D187" s="3"/>
      <c r="E187" s="3"/>
      <c r="F187" s="155"/>
      <c r="G187" s="3"/>
      <c r="I187" s="155"/>
      <c r="J187" s="3"/>
    </row>
    <row r="188" ht="12.0" customHeight="1">
      <c r="A188" s="155"/>
      <c r="B188" s="155"/>
      <c r="C188" s="155"/>
      <c r="D188" s="3"/>
      <c r="E188" s="3"/>
      <c r="F188" s="155"/>
      <c r="G188" s="3"/>
      <c r="I188" s="155"/>
      <c r="J188" s="3"/>
    </row>
    <row r="189" ht="12.0" customHeight="1">
      <c r="A189" s="155"/>
      <c r="B189" s="155"/>
      <c r="C189" s="155"/>
      <c r="D189" s="3"/>
      <c r="E189" s="3"/>
      <c r="F189" s="155"/>
      <c r="G189" s="3"/>
      <c r="I189" s="155"/>
      <c r="J189" s="3"/>
    </row>
    <row r="190" ht="12.0" customHeight="1">
      <c r="A190" s="155"/>
      <c r="B190" s="155"/>
      <c r="C190" s="155"/>
      <c r="D190" s="3"/>
      <c r="E190" s="3"/>
      <c r="F190" s="155"/>
      <c r="G190" s="3"/>
      <c r="I190" s="155"/>
      <c r="J190" s="3"/>
    </row>
    <row r="191" ht="12.0" customHeight="1">
      <c r="A191" s="155"/>
      <c r="B191" s="155"/>
      <c r="C191" s="155"/>
      <c r="D191" s="3"/>
      <c r="E191" s="3"/>
      <c r="F191" s="155"/>
      <c r="G191" s="3"/>
      <c r="I191" s="155"/>
      <c r="J191" s="3"/>
    </row>
    <row r="192" ht="12.0" customHeight="1">
      <c r="A192" s="155"/>
      <c r="B192" s="155"/>
      <c r="C192" s="155"/>
      <c r="D192" s="3"/>
      <c r="E192" s="3"/>
      <c r="F192" s="155"/>
      <c r="G192" s="3"/>
      <c r="I192" s="155"/>
      <c r="J192" s="3"/>
    </row>
    <row r="193" ht="12.0" customHeight="1">
      <c r="A193" s="155"/>
      <c r="B193" s="155"/>
      <c r="C193" s="155"/>
      <c r="D193" s="3"/>
      <c r="E193" s="3"/>
      <c r="F193" s="155"/>
      <c r="G193" s="3"/>
      <c r="I193" s="155"/>
      <c r="J193" s="3"/>
    </row>
    <row r="194" ht="12.0" customHeight="1">
      <c r="A194" s="155"/>
      <c r="B194" s="155"/>
      <c r="C194" s="155"/>
      <c r="D194" s="3"/>
      <c r="E194" s="3"/>
      <c r="F194" s="155"/>
      <c r="G194" s="3"/>
      <c r="I194" s="155"/>
      <c r="J194" s="3"/>
    </row>
    <row r="195" ht="12.0" customHeight="1">
      <c r="A195" s="155"/>
      <c r="B195" s="155"/>
      <c r="C195" s="155"/>
      <c r="D195" s="3"/>
      <c r="E195" s="3"/>
      <c r="F195" s="155"/>
      <c r="G195" s="3"/>
      <c r="I195" s="155"/>
      <c r="J195" s="3"/>
    </row>
    <row r="196" ht="12.0" customHeight="1">
      <c r="A196" s="155"/>
      <c r="B196" s="155"/>
      <c r="C196" s="155"/>
      <c r="D196" s="3"/>
      <c r="E196" s="3"/>
      <c r="F196" s="155"/>
      <c r="G196" s="3"/>
      <c r="I196" s="155"/>
      <c r="J196" s="3"/>
    </row>
    <row r="197" ht="12.0" customHeight="1">
      <c r="A197" s="155"/>
      <c r="B197" s="155"/>
      <c r="C197" s="155"/>
      <c r="D197" s="3"/>
      <c r="E197" s="3"/>
      <c r="F197" s="155"/>
      <c r="G197" s="3"/>
      <c r="I197" s="155"/>
      <c r="J197" s="3"/>
    </row>
    <row r="198" ht="12.0" customHeight="1">
      <c r="A198" s="155"/>
      <c r="B198" s="155"/>
      <c r="C198" s="155"/>
      <c r="D198" s="3"/>
      <c r="E198" s="3"/>
      <c r="F198" s="155"/>
      <c r="G198" s="3"/>
      <c r="I198" s="155"/>
      <c r="J198" s="3"/>
    </row>
    <row r="199" ht="12.0" customHeight="1">
      <c r="A199" s="155"/>
      <c r="B199" s="155"/>
      <c r="C199" s="155"/>
      <c r="D199" s="3"/>
      <c r="E199" s="3"/>
      <c r="F199" s="155"/>
      <c r="G199" s="3"/>
      <c r="I199" s="155"/>
      <c r="J199" s="3"/>
    </row>
    <row r="200" ht="12.0" customHeight="1">
      <c r="A200" s="155"/>
      <c r="B200" s="155"/>
      <c r="C200" s="155"/>
      <c r="D200" s="3"/>
      <c r="E200" s="3"/>
      <c r="F200" s="155"/>
      <c r="G200" s="3"/>
      <c r="I200" s="155"/>
      <c r="J200" s="3"/>
    </row>
    <row r="201" ht="12.0" customHeight="1">
      <c r="A201" s="155"/>
      <c r="B201" s="155"/>
      <c r="C201" s="155"/>
      <c r="D201" s="3"/>
      <c r="E201" s="3"/>
      <c r="F201" s="155"/>
      <c r="G201" s="3"/>
      <c r="I201" s="155"/>
      <c r="J201" s="3"/>
    </row>
    <row r="202" ht="12.0" customHeight="1">
      <c r="A202" s="155"/>
      <c r="B202" s="155"/>
      <c r="C202" s="155"/>
      <c r="D202" s="3"/>
      <c r="E202" s="3"/>
      <c r="F202" s="155"/>
      <c r="G202" s="3"/>
      <c r="I202" s="155"/>
      <c r="J202" s="3"/>
    </row>
    <row r="203" ht="12.0" customHeight="1">
      <c r="A203" s="155"/>
      <c r="B203" s="155"/>
      <c r="C203" s="155"/>
      <c r="D203" s="3"/>
      <c r="E203" s="3"/>
      <c r="F203" s="155"/>
      <c r="G203" s="3"/>
      <c r="I203" s="155"/>
      <c r="J203" s="3"/>
    </row>
    <row r="204" ht="12.0" customHeight="1">
      <c r="A204" s="155"/>
      <c r="B204" s="155"/>
      <c r="C204" s="155"/>
      <c r="D204" s="3"/>
      <c r="E204" s="3"/>
      <c r="F204" s="155"/>
      <c r="G204" s="3"/>
      <c r="I204" s="155"/>
      <c r="J204" s="3"/>
    </row>
    <row r="205" ht="12.0" customHeight="1">
      <c r="A205" s="155"/>
      <c r="B205" s="155"/>
      <c r="C205" s="155"/>
      <c r="D205" s="3"/>
      <c r="E205" s="3"/>
      <c r="F205" s="155"/>
      <c r="G205" s="3"/>
      <c r="I205" s="155"/>
      <c r="J205" s="3"/>
    </row>
    <row r="206" ht="12.0" customHeight="1">
      <c r="A206" s="155"/>
      <c r="B206" s="155"/>
      <c r="C206" s="155"/>
      <c r="D206" s="3"/>
      <c r="E206" s="3"/>
      <c r="F206" s="155"/>
      <c r="G206" s="3"/>
      <c r="I206" s="155"/>
      <c r="J206" s="3"/>
    </row>
    <row r="207" ht="12.0" customHeight="1">
      <c r="A207" s="155"/>
      <c r="B207" s="155"/>
      <c r="C207" s="155"/>
      <c r="D207" s="3"/>
      <c r="E207" s="3"/>
      <c r="F207" s="155"/>
      <c r="G207" s="3"/>
      <c r="I207" s="155"/>
      <c r="J207" s="3"/>
    </row>
    <row r="208" ht="12.0" customHeight="1">
      <c r="A208" s="155"/>
      <c r="B208" s="155"/>
      <c r="C208" s="155"/>
      <c r="D208" s="3"/>
      <c r="E208" s="3"/>
      <c r="F208" s="155"/>
      <c r="G208" s="3"/>
      <c r="I208" s="155"/>
      <c r="J208" s="3"/>
    </row>
    <row r="209" ht="12.0" customHeight="1">
      <c r="A209" s="155"/>
      <c r="B209" s="155"/>
      <c r="C209" s="155"/>
      <c r="D209" s="3"/>
      <c r="E209" s="3"/>
      <c r="F209" s="155"/>
      <c r="G209" s="3"/>
      <c r="I209" s="155"/>
      <c r="J209" s="3"/>
    </row>
    <row r="210" ht="12.0" customHeight="1">
      <c r="A210" s="155"/>
      <c r="B210" s="155"/>
      <c r="C210" s="155"/>
      <c r="D210" s="3"/>
      <c r="E210" s="3"/>
      <c r="F210" s="155"/>
      <c r="G210" s="3"/>
      <c r="I210" s="155"/>
      <c r="J210" s="3"/>
    </row>
    <row r="211" ht="12.0" customHeight="1">
      <c r="A211" s="155"/>
      <c r="B211" s="155"/>
      <c r="C211" s="155"/>
      <c r="D211" s="3"/>
      <c r="E211" s="3"/>
      <c r="F211" s="155"/>
      <c r="G211" s="3"/>
      <c r="I211" s="155"/>
      <c r="J211" s="3"/>
    </row>
    <row r="212" ht="12.0" customHeight="1">
      <c r="A212" s="155"/>
      <c r="B212" s="155"/>
      <c r="C212" s="155"/>
      <c r="D212" s="3"/>
      <c r="E212" s="3"/>
      <c r="F212" s="155"/>
      <c r="G212" s="3"/>
      <c r="I212" s="155"/>
      <c r="J212" s="3"/>
    </row>
    <row r="213" ht="12.0" customHeight="1">
      <c r="A213" s="155"/>
      <c r="B213" s="155"/>
      <c r="C213" s="155"/>
      <c r="D213" s="3"/>
      <c r="E213" s="3"/>
      <c r="F213" s="155"/>
      <c r="G213" s="3"/>
      <c r="I213" s="155"/>
      <c r="J213" s="3"/>
    </row>
    <row r="214" ht="12.0" customHeight="1">
      <c r="A214" s="155"/>
      <c r="B214" s="155"/>
      <c r="C214" s="155"/>
      <c r="D214" s="3"/>
      <c r="E214" s="3"/>
      <c r="F214" s="155"/>
      <c r="G214" s="3"/>
      <c r="I214" s="155"/>
      <c r="J214" s="3"/>
    </row>
    <row r="215" ht="12.0" customHeight="1">
      <c r="A215" s="155"/>
      <c r="B215" s="155"/>
      <c r="C215" s="155"/>
      <c r="D215" s="3"/>
      <c r="E215" s="3"/>
      <c r="F215" s="155"/>
      <c r="G215" s="3"/>
      <c r="I215" s="155"/>
      <c r="J215" s="3"/>
    </row>
    <row r="216" ht="12.0" customHeight="1">
      <c r="A216" s="155"/>
      <c r="B216" s="155"/>
      <c r="C216" s="155"/>
      <c r="D216" s="3"/>
      <c r="E216" s="3"/>
      <c r="F216" s="155"/>
      <c r="G216" s="3"/>
      <c r="I216" s="155"/>
      <c r="J216" s="3"/>
    </row>
    <row r="217" ht="12.0" customHeight="1">
      <c r="A217" s="155"/>
      <c r="B217" s="155"/>
      <c r="C217" s="155"/>
      <c r="D217" s="3"/>
      <c r="E217" s="3"/>
      <c r="F217" s="155"/>
      <c r="G217" s="3"/>
      <c r="I217" s="155"/>
      <c r="J217" s="3"/>
    </row>
    <row r="218" ht="12.0" customHeight="1">
      <c r="A218" s="155"/>
      <c r="B218" s="155"/>
      <c r="C218" s="155"/>
      <c r="D218" s="3"/>
      <c r="E218" s="3"/>
      <c r="F218" s="155"/>
      <c r="G218" s="3"/>
      <c r="I218" s="155"/>
      <c r="J218" s="3"/>
    </row>
    <row r="219" ht="12.0" customHeight="1">
      <c r="A219" s="155"/>
      <c r="B219" s="155"/>
      <c r="C219" s="155"/>
      <c r="D219" s="3"/>
      <c r="E219" s="3"/>
      <c r="F219" s="155"/>
      <c r="G219" s="3"/>
      <c r="I219" s="155"/>
      <c r="J219" s="3"/>
    </row>
    <row r="220" ht="12.0" customHeight="1">
      <c r="A220" s="155"/>
      <c r="B220" s="155"/>
      <c r="C220" s="155"/>
      <c r="D220" s="3"/>
      <c r="E220" s="3"/>
      <c r="F220" s="155"/>
      <c r="G220" s="3"/>
      <c r="I220" s="155"/>
      <c r="J220" s="3"/>
    </row>
    <row r="221" ht="12.0" customHeight="1">
      <c r="A221" s="155"/>
      <c r="B221" s="155"/>
      <c r="C221" s="155"/>
      <c r="D221" s="3"/>
      <c r="E221" s="3"/>
      <c r="F221" s="155"/>
      <c r="G221" s="3"/>
      <c r="I221" s="155"/>
      <c r="J221" s="3"/>
    </row>
    <row r="222" ht="12.0" customHeight="1">
      <c r="A222" s="155"/>
      <c r="B222" s="155"/>
      <c r="C222" s="155"/>
      <c r="D222" s="3"/>
      <c r="E222" s="3"/>
      <c r="F222" s="155"/>
      <c r="G222" s="3"/>
      <c r="H222" s="3"/>
      <c r="I222" s="155"/>
      <c r="J222" s="3"/>
    </row>
    <row r="223" ht="12.0" customHeight="1">
      <c r="A223" s="155"/>
      <c r="B223" s="155"/>
      <c r="C223" s="155"/>
      <c r="D223" s="3"/>
      <c r="E223" s="3"/>
      <c r="F223" s="155"/>
      <c r="G223" s="3"/>
      <c r="H223" s="3"/>
      <c r="I223" s="155"/>
      <c r="J223" s="3"/>
    </row>
    <row r="224" ht="12.0" customHeight="1">
      <c r="A224" s="155"/>
      <c r="B224" s="155"/>
      <c r="C224" s="155"/>
      <c r="D224" s="3"/>
      <c r="E224" s="3"/>
      <c r="F224" s="155"/>
      <c r="G224" s="3"/>
      <c r="H224" s="3"/>
      <c r="I224" s="155"/>
      <c r="J224" s="3"/>
    </row>
    <row r="225" ht="12.0" customHeight="1">
      <c r="A225" s="155"/>
      <c r="B225" s="155"/>
      <c r="C225" s="155"/>
      <c r="D225" s="3"/>
      <c r="E225" s="3"/>
      <c r="F225" s="155"/>
      <c r="G225" s="3"/>
      <c r="H225" s="3"/>
      <c r="I225" s="155"/>
      <c r="J225" s="3"/>
    </row>
    <row r="226" ht="12.0" customHeight="1">
      <c r="A226" s="155"/>
      <c r="B226" s="155"/>
      <c r="C226" s="155"/>
      <c r="D226" s="3"/>
      <c r="E226" s="3"/>
      <c r="F226" s="155"/>
      <c r="G226" s="3"/>
      <c r="H226" s="3"/>
      <c r="I226" s="155"/>
      <c r="J226" s="3"/>
    </row>
    <row r="227" ht="12.0" customHeight="1">
      <c r="A227" s="155"/>
      <c r="B227" s="155"/>
      <c r="C227" s="155"/>
      <c r="D227" s="3"/>
      <c r="E227" s="3"/>
      <c r="F227" s="155"/>
      <c r="G227" s="3"/>
      <c r="H227" s="3"/>
      <c r="I227" s="155"/>
      <c r="J227" s="3"/>
    </row>
    <row r="228" ht="12.0" customHeight="1">
      <c r="A228" s="155"/>
      <c r="B228" s="155"/>
      <c r="C228" s="155"/>
      <c r="D228" s="3"/>
      <c r="E228" s="3"/>
      <c r="F228" s="155"/>
      <c r="G228" s="3"/>
      <c r="H228" s="3"/>
      <c r="I228" s="155"/>
      <c r="J228" s="3"/>
    </row>
    <row r="229" ht="12.0" customHeight="1">
      <c r="A229" s="155"/>
      <c r="B229" s="155"/>
      <c r="C229" s="155"/>
      <c r="D229" s="3"/>
      <c r="E229" s="3"/>
      <c r="F229" s="155"/>
      <c r="G229" s="3"/>
      <c r="H229" s="3"/>
      <c r="I229" s="155"/>
      <c r="J229" s="3"/>
    </row>
    <row r="230" ht="12.0" customHeight="1">
      <c r="A230" s="155"/>
      <c r="B230" s="155"/>
      <c r="C230" s="155"/>
      <c r="D230" s="3"/>
      <c r="E230" s="3"/>
      <c r="F230" s="155"/>
      <c r="G230" s="3"/>
      <c r="H230" s="3"/>
      <c r="I230" s="155"/>
      <c r="J230" s="3"/>
    </row>
    <row r="231" ht="12.0" customHeight="1">
      <c r="A231" s="155"/>
      <c r="B231" s="155"/>
      <c r="C231" s="155"/>
      <c r="D231" s="3"/>
      <c r="E231" s="3"/>
      <c r="F231" s="155"/>
      <c r="G231" s="3"/>
      <c r="H231" s="3"/>
      <c r="I231" s="155"/>
      <c r="J231" s="3"/>
    </row>
    <row r="232" ht="12.0" customHeight="1">
      <c r="A232" s="155"/>
      <c r="B232" s="155"/>
      <c r="C232" s="155"/>
      <c r="D232" s="3"/>
      <c r="E232" s="3"/>
      <c r="F232" s="155"/>
      <c r="G232" s="3"/>
      <c r="H232" s="3"/>
      <c r="I232" s="155"/>
      <c r="J232" s="3"/>
    </row>
    <row r="233" ht="12.0" customHeight="1">
      <c r="A233" s="155"/>
      <c r="B233" s="155"/>
      <c r="C233" s="155"/>
      <c r="D233" s="3"/>
      <c r="E233" s="3"/>
      <c r="F233" s="155"/>
      <c r="G233" s="3"/>
      <c r="H233" s="3"/>
      <c r="I233" s="155"/>
      <c r="J233" s="3"/>
    </row>
    <row r="234" ht="12.0" customHeight="1">
      <c r="A234" s="155"/>
      <c r="B234" s="155"/>
      <c r="C234" s="155"/>
      <c r="D234" s="3"/>
      <c r="E234" s="3"/>
      <c r="F234" s="155"/>
      <c r="G234" s="3"/>
      <c r="H234" s="3"/>
      <c r="I234" s="155"/>
      <c r="J234" s="3"/>
    </row>
    <row r="235" ht="12.0" customHeight="1">
      <c r="A235" s="155"/>
      <c r="B235" s="155"/>
      <c r="C235" s="155"/>
      <c r="D235" s="3"/>
      <c r="E235" s="3"/>
      <c r="F235" s="155"/>
      <c r="G235" s="3"/>
      <c r="H235" s="3"/>
      <c r="I235" s="155"/>
      <c r="J235" s="3"/>
    </row>
    <row r="236" ht="12.0" customHeight="1">
      <c r="A236" s="155"/>
      <c r="B236" s="155"/>
      <c r="C236" s="155"/>
      <c r="D236" s="3"/>
      <c r="E236" s="3"/>
      <c r="F236" s="155"/>
      <c r="G236" s="3"/>
      <c r="H236" s="3"/>
      <c r="I236" s="155"/>
      <c r="J236" s="3"/>
    </row>
    <row r="237" ht="12.0" customHeight="1">
      <c r="A237" s="155"/>
      <c r="B237" s="155"/>
      <c r="C237" s="155"/>
      <c r="D237" s="3"/>
      <c r="E237" s="3"/>
      <c r="F237" s="155"/>
      <c r="G237" s="3"/>
      <c r="H237" s="3"/>
      <c r="I237" s="155"/>
      <c r="J237" s="3"/>
    </row>
    <row r="238" ht="12.0" customHeight="1">
      <c r="A238" s="155"/>
      <c r="B238" s="155"/>
      <c r="C238" s="155"/>
      <c r="D238" s="3"/>
      <c r="E238" s="3"/>
      <c r="F238" s="155"/>
      <c r="G238" s="3"/>
      <c r="H238" s="3"/>
      <c r="I238" s="155"/>
      <c r="J238" s="3"/>
    </row>
    <row r="239" ht="12.0" customHeight="1">
      <c r="A239" s="155"/>
      <c r="B239" s="155"/>
      <c r="C239" s="155"/>
      <c r="D239" s="3"/>
      <c r="E239" s="3"/>
      <c r="F239" s="155"/>
      <c r="G239" s="3"/>
      <c r="H239" s="3"/>
      <c r="I239" s="155"/>
      <c r="J239" s="3"/>
    </row>
    <row r="240" ht="12.0" customHeight="1">
      <c r="A240" s="155"/>
      <c r="B240" s="155"/>
      <c r="C240" s="155"/>
      <c r="D240" s="3"/>
      <c r="E240" s="3"/>
      <c r="F240" s="155"/>
      <c r="G240" s="3"/>
      <c r="H240" s="3"/>
      <c r="I240" s="155"/>
      <c r="J240" s="3"/>
    </row>
    <row r="241" ht="12.0" customHeight="1">
      <c r="A241" s="155"/>
      <c r="B241" s="155"/>
      <c r="C241" s="155"/>
      <c r="D241" s="3"/>
      <c r="E241" s="3"/>
      <c r="F241" s="155"/>
      <c r="G241" s="3"/>
      <c r="H241" s="3"/>
      <c r="I241" s="155"/>
      <c r="J241" s="3"/>
    </row>
    <row r="242" ht="12.0" customHeight="1">
      <c r="A242" s="155"/>
      <c r="B242" s="155"/>
      <c r="C242" s="155"/>
      <c r="D242" s="3"/>
      <c r="E242" s="3"/>
      <c r="F242" s="155"/>
      <c r="G242" s="3"/>
      <c r="H242" s="3"/>
      <c r="I242" s="155"/>
      <c r="J242" s="3"/>
    </row>
    <row r="243" ht="12.0" customHeight="1">
      <c r="A243" s="155"/>
      <c r="B243" s="155"/>
      <c r="C243" s="155"/>
      <c r="D243" s="3"/>
      <c r="E243" s="3"/>
      <c r="F243" s="155"/>
      <c r="G243" s="3"/>
      <c r="H243" s="3"/>
      <c r="I243" s="155"/>
      <c r="J243" s="3"/>
    </row>
    <row r="244" ht="12.0" customHeight="1">
      <c r="A244" s="155"/>
      <c r="B244" s="155"/>
      <c r="C244" s="155"/>
      <c r="D244" s="3"/>
      <c r="E244" s="3"/>
      <c r="F244" s="155"/>
      <c r="G244" s="3"/>
      <c r="H244" s="3"/>
      <c r="I244" s="155"/>
      <c r="J244" s="3"/>
    </row>
    <row r="245" ht="12.0" customHeight="1">
      <c r="A245" s="155"/>
      <c r="B245" s="155"/>
      <c r="C245" s="155"/>
      <c r="D245" s="3"/>
      <c r="E245" s="3"/>
      <c r="F245" s="155"/>
      <c r="G245" s="3"/>
      <c r="H245" s="3"/>
      <c r="I245" s="155"/>
      <c r="J245" s="3"/>
    </row>
    <row r="246" ht="12.0" customHeight="1">
      <c r="A246" s="155"/>
      <c r="B246" s="155"/>
      <c r="C246" s="155"/>
      <c r="D246" s="3"/>
      <c r="E246" s="3"/>
      <c r="F246" s="155"/>
      <c r="G246" s="3"/>
      <c r="H246" s="3"/>
      <c r="I246" s="155"/>
      <c r="J246" s="3"/>
    </row>
    <row r="247" ht="12.0" customHeight="1">
      <c r="A247" s="155"/>
      <c r="B247" s="155"/>
      <c r="C247" s="155"/>
      <c r="D247" s="3"/>
      <c r="E247" s="3"/>
      <c r="F247" s="155"/>
      <c r="G247" s="3"/>
      <c r="H247" s="3"/>
      <c r="I247" s="155"/>
      <c r="J247" s="3"/>
    </row>
    <row r="248" ht="12.0" customHeight="1">
      <c r="A248" s="155"/>
      <c r="B248" s="155"/>
      <c r="C248" s="155"/>
      <c r="D248" s="3"/>
      <c r="E248" s="3"/>
      <c r="F248" s="155"/>
      <c r="G248" s="3"/>
      <c r="H248" s="3"/>
      <c r="I248" s="155"/>
      <c r="J248" s="3"/>
    </row>
    <row r="249" ht="12.0" customHeight="1">
      <c r="A249" s="155"/>
      <c r="B249" s="155"/>
      <c r="C249" s="155"/>
      <c r="F249" s="155"/>
      <c r="I249" s="155"/>
    </row>
    <row r="250" ht="12.0" customHeight="1">
      <c r="A250" s="155"/>
      <c r="B250" s="155"/>
      <c r="C250" s="155"/>
      <c r="F250" s="155"/>
      <c r="I250" s="155"/>
    </row>
    <row r="251" ht="12.0" customHeight="1">
      <c r="A251" s="155"/>
      <c r="B251" s="155"/>
      <c r="C251" s="155"/>
      <c r="F251" s="155"/>
      <c r="I251" s="155"/>
    </row>
    <row r="252" ht="12.0" customHeight="1">
      <c r="A252" s="155"/>
      <c r="B252" s="155"/>
      <c r="C252" s="155"/>
      <c r="F252" s="155"/>
      <c r="I252" s="155"/>
    </row>
    <row r="253" ht="12.0" customHeight="1">
      <c r="A253" s="155"/>
      <c r="B253" s="155"/>
      <c r="C253" s="155"/>
      <c r="F253" s="155"/>
      <c r="I253" s="155"/>
    </row>
    <row r="254" ht="12.0" customHeight="1">
      <c r="A254" s="155"/>
      <c r="B254" s="155"/>
      <c r="C254" s="155"/>
      <c r="F254" s="155"/>
      <c r="I254" s="155"/>
    </row>
    <row r="255" ht="12.0" customHeight="1">
      <c r="A255" s="155"/>
      <c r="B255" s="155"/>
      <c r="C255" s="155"/>
      <c r="F255" s="155"/>
      <c r="I255" s="155"/>
    </row>
    <row r="256" ht="12.0" customHeight="1">
      <c r="A256" s="155"/>
      <c r="B256" s="155"/>
      <c r="C256" s="155"/>
      <c r="F256" s="155"/>
      <c r="I256" s="155"/>
    </row>
    <row r="257" ht="12.0" customHeight="1">
      <c r="A257" s="155"/>
      <c r="B257" s="155"/>
      <c r="C257" s="155"/>
      <c r="F257" s="155"/>
      <c r="I257" s="155"/>
    </row>
    <row r="258" ht="12.0" customHeight="1">
      <c r="A258" s="155"/>
      <c r="B258" s="155"/>
      <c r="C258" s="155"/>
      <c r="F258" s="155"/>
      <c r="I258" s="155"/>
    </row>
    <row r="259" ht="12.0" customHeight="1">
      <c r="A259" s="155"/>
      <c r="B259" s="155"/>
      <c r="C259" s="155"/>
      <c r="F259" s="155"/>
      <c r="I259" s="155"/>
    </row>
    <row r="260" ht="12.0" customHeight="1">
      <c r="A260" s="155"/>
      <c r="B260" s="155"/>
      <c r="C260" s="155"/>
      <c r="F260" s="155"/>
      <c r="I260" s="155"/>
    </row>
    <row r="261" ht="12.0" customHeight="1">
      <c r="A261" s="155"/>
      <c r="B261" s="155"/>
      <c r="C261" s="155"/>
      <c r="F261" s="155"/>
      <c r="I261" s="155"/>
    </row>
    <row r="262" ht="12.0" customHeight="1">
      <c r="A262" s="155"/>
      <c r="B262" s="155"/>
      <c r="C262" s="155"/>
      <c r="F262" s="155"/>
      <c r="I262" s="155"/>
    </row>
    <row r="263" ht="12.0" customHeight="1">
      <c r="A263" s="155"/>
      <c r="B263" s="155"/>
      <c r="C263" s="155"/>
      <c r="F263" s="155"/>
      <c r="I263" s="155"/>
    </row>
    <row r="264" ht="12.0" customHeight="1">
      <c r="A264" s="155"/>
      <c r="B264" s="155"/>
      <c r="C264" s="155"/>
      <c r="F264" s="155"/>
      <c r="I264" s="155"/>
    </row>
    <row r="265" ht="12.0" customHeight="1">
      <c r="A265" s="155"/>
      <c r="B265" s="155"/>
      <c r="C265" s="155"/>
      <c r="F265" s="155"/>
      <c r="I265" s="155"/>
    </row>
    <row r="266" ht="12.0" customHeight="1">
      <c r="A266" s="155"/>
      <c r="B266" s="155"/>
      <c r="C266" s="155"/>
      <c r="F266" s="155"/>
      <c r="I266" s="155"/>
    </row>
    <row r="267" ht="12.0" customHeight="1">
      <c r="A267" s="155"/>
      <c r="B267" s="155"/>
      <c r="C267" s="155"/>
      <c r="F267" s="155"/>
      <c r="I267" s="155"/>
    </row>
    <row r="268" ht="12.0" customHeight="1">
      <c r="A268" s="155"/>
      <c r="B268" s="155"/>
      <c r="C268" s="155"/>
      <c r="F268" s="155"/>
      <c r="I268" s="155"/>
    </row>
    <row r="269" ht="12.0" customHeight="1">
      <c r="A269" s="155"/>
      <c r="B269" s="155"/>
      <c r="C269" s="155"/>
      <c r="F269" s="155"/>
      <c r="I269" s="155"/>
    </row>
    <row r="270" ht="12.0" customHeight="1">
      <c r="A270" s="155"/>
      <c r="B270" s="155"/>
      <c r="C270" s="155"/>
      <c r="F270" s="155"/>
      <c r="I270" s="155"/>
    </row>
    <row r="271" ht="12.0" customHeight="1">
      <c r="A271" s="155"/>
      <c r="B271" s="155"/>
      <c r="C271" s="155"/>
      <c r="F271" s="155"/>
      <c r="I271" s="155"/>
    </row>
    <row r="272" ht="12.0" customHeight="1">
      <c r="A272" s="155"/>
      <c r="B272" s="155"/>
      <c r="C272" s="155"/>
      <c r="F272" s="155"/>
      <c r="I272" s="155"/>
    </row>
    <row r="273" ht="12.0" customHeight="1">
      <c r="A273" s="155"/>
      <c r="B273" s="155"/>
      <c r="C273" s="155"/>
      <c r="F273" s="155"/>
      <c r="I273" s="155"/>
    </row>
    <row r="274" ht="12.0" customHeight="1">
      <c r="A274" s="155"/>
      <c r="B274" s="155"/>
      <c r="C274" s="155"/>
      <c r="F274" s="155"/>
      <c r="I274" s="155"/>
    </row>
    <row r="275" ht="12.0" customHeight="1">
      <c r="A275" s="155"/>
      <c r="B275" s="155"/>
      <c r="C275" s="155"/>
      <c r="F275" s="155"/>
      <c r="I275" s="155"/>
    </row>
    <row r="276" ht="12.0" customHeight="1">
      <c r="A276" s="155"/>
      <c r="B276" s="155"/>
      <c r="C276" s="155"/>
      <c r="F276" s="155"/>
      <c r="I276" s="155"/>
    </row>
    <row r="277" ht="12.0" customHeight="1">
      <c r="A277" s="155"/>
      <c r="B277" s="155"/>
      <c r="C277" s="155"/>
      <c r="F277" s="155"/>
      <c r="I277" s="155"/>
    </row>
    <row r="278" ht="12.0" customHeight="1">
      <c r="A278" s="155"/>
      <c r="B278" s="155"/>
      <c r="C278" s="155"/>
      <c r="F278" s="155"/>
      <c r="I278" s="155"/>
    </row>
    <row r="279" ht="12.0" customHeight="1">
      <c r="A279" s="155"/>
      <c r="B279" s="155"/>
      <c r="C279" s="155"/>
      <c r="F279" s="155"/>
      <c r="I279" s="155"/>
    </row>
    <row r="280" ht="12.0" customHeight="1">
      <c r="A280" s="155"/>
      <c r="B280" s="155"/>
      <c r="C280" s="155"/>
      <c r="F280" s="155"/>
      <c r="I280" s="155"/>
    </row>
    <row r="281" ht="12.0" customHeight="1">
      <c r="A281" s="155"/>
      <c r="B281" s="155"/>
      <c r="C281" s="155"/>
      <c r="F281" s="155"/>
      <c r="I281" s="155"/>
    </row>
    <row r="282" ht="12.0" customHeight="1">
      <c r="A282" s="155"/>
      <c r="B282" s="155"/>
      <c r="C282" s="155"/>
      <c r="F282" s="155"/>
      <c r="I282" s="155"/>
    </row>
    <row r="283" ht="12.0" customHeight="1">
      <c r="A283" s="155"/>
      <c r="B283" s="155"/>
      <c r="C283" s="155"/>
      <c r="F283" s="155"/>
      <c r="I283" s="155"/>
    </row>
    <row r="284" ht="12.0" customHeight="1">
      <c r="A284" s="155"/>
      <c r="B284" s="155"/>
      <c r="C284" s="155"/>
      <c r="F284" s="155"/>
      <c r="I284" s="155"/>
    </row>
    <row r="285" ht="12.0" customHeight="1">
      <c r="A285" s="155"/>
      <c r="B285" s="155"/>
      <c r="C285" s="155"/>
      <c r="F285" s="155"/>
      <c r="I285" s="155"/>
    </row>
    <row r="286" ht="12.0" customHeight="1">
      <c r="A286" s="155"/>
      <c r="B286" s="155"/>
      <c r="C286" s="155"/>
      <c r="F286" s="155"/>
      <c r="I286" s="155"/>
    </row>
    <row r="287" ht="12.0" customHeight="1">
      <c r="A287" s="155"/>
      <c r="B287" s="155"/>
      <c r="C287" s="155"/>
      <c r="F287" s="155"/>
      <c r="I287" s="155"/>
    </row>
    <row r="288" ht="12.0" customHeight="1">
      <c r="A288" s="155"/>
      <c r="B288" s="155"/>
      <c r="C288" s="155"/>
      <c r="F288" s="155"/>
      <c r="I288" s="155"/>
    </row>
    <row r="289" ht="12.0" customHeight="1">
      <c r="A289" s="155"/>
      <c r="B289" s="155"/>
      <c r="C289" s="155"/>
      <c r="F289" s="155"/>
      <c r="I289" s="155"/>
    </row>
    <row r="290" ht="12.0" customHeight="1">
      <c r="A290" s="155"/>
      <c r="B290" s="155"/>
      <c r="C290" s="155"/>
      <c r="F290" s="155"/>
      <c r="I290" s="155"/>
    </row>
    <row r="291" ht="12.0" customHeight="1">
      <c r="A291" s="155"/>
      <c r="B291" s="155"/>
      <c r="C291" s="155"/>
      <c r="F291" s="155"/>
      <c r="I291" s="155"/>
    </row>
    <row r="292" ht="12.0" customHeight="1">
      <c r="A292" s="155"/>
      <c r="B292" s="155"/>
      <c r="C292" s="155"/>
      <c r="F292" s="155"/>
      <c r="I292" s="155"/>
    </row>
    <row r="293" ht="12.0" customHeight="1">
      <c r="A293" s="155"/>
      <c r="B293" s="155"/>
      <c r="C293" s="155"/>
      <c r="F293" s="155"/>
      <c r="I293" s="155"/>
    </row>
    <row r="294" ht="12.0" customHeight="1">
      <c r="A294" s="155"/>
      <c r="B294" s="155"/>
      <c r="C294" s="155"/>
      <c r="F294" s="155"/>
      <c r="I294" s="155"/>
    </row>
    <row r="295" ht="12.0" customHeight="1">
      <c r="A295" s="155"/>
      <c r="B295" s="155"/>
      <c r="C295" s="155"/>
      <c r="F295" s="155"/>
      <c r="I295" s="155"/>
    </row>
    <row r="296" ht="12.0" customHeight="1">
      <c r="A296" s="155"/>
      <c r="B296" s="155"/>
      <c r="C296" s="155"/>
      <c r="F296" s="155"/>
      <c r="I296" s="155"/>
    </row>
    <row r="297" ht="12.0" customHeight="1">
      <c r="A297" s="155"/>
      <c r="B297" s="155"/>
      <c r="C297" s="155"/>
      <c r="F297" s="155"/>
      <c r="I297" s="155"/>
    </row>
    <row r="298" ht="12.0" customHeight="1">
      <c r="A298" s="155"/>
      <c r="B298" s="155"/>
      <c r="C298" s="155"/>
      <c r="F298" s="155"/>
      <c r="I298" s="155"/>
    </row>
    <row r="299" ht="12.0" customHeight="1">
      <c r="A299" s="155"/>
      <c r="B299" s="155"/>
      <c r="C299" s="155"/>
      <c r="F299" s="155"/>
      <c r="I299" s="155"/>
    </row>
    <row r="300" ht="12.0" customHeight="1">
      <c r="A300" s="155"/>
      <c r="B300" s="155"/>
      <c r="C300" s="155"/>
      <c r="F300" s="155"/>
      <c r="I300" s="155"/>
    </row>
    <row r="301" ht="12.0" customHeight="1">
      <c r="A301" s="155"/>
      <c r="B301" s="155"/>
      <c r="C301" s="155"/>
      <c r="F301" s="155"/>
      <c r="I301" s="155"/>
    </row>
    <row r="302" ht="12.0" customHeight="1">
      <c r="A302" s="155"/>
      <c r="B302" s="155"/>
      <c r="C302" s="155"/>
      <c r="F302" s="155"/>
      <c r="I302" s="155"/>
    </row>
    <row r="303" ht="12.0" customHeight="1">
      <c r="A303" s="155"/>
      <c r="B303" s="155"/>
      <c r="C303" s="155"/>
      <c r="F303" s="155"/>
      <c r="I303" s="155"/>
    </row>
    <row r="304" ht="12.0" customHeight="1">
      <c r="A304" s="155"/>
      <c r="B304" s="155"/>
      <c r="C304" s="155"/>
      <c r="F304" s="155"/>
      <c r="I304" s="155"/>
    </row>
    <row r="305" ht="12.0" customHeight="1">
      <c r="A305" s="155"/>
      <c r="B305" s="155"/>
      <c r="C305" s="155"/>
      <c r="F305" s="155"/>
      <c r="I305" s="155"/>
    </row>
    <row r="306" ht="12.0" customHeight="1">
      <c r="A306" s="155"/>
      <c r="B306" s="155"/>
      <c r="C306" s="155"/>
      <c r="F306" s="155"/>
      <c r="I306" s="155"/>
    </row>
    <row r="307" ht="12.0" customHeight="1">
      <c r="A307" s="155"/>
      <c r="B307" s="155"/>
      <c r="C307" s="155"/>
      <c r="F307" s="155"/>
      <c r="I307" s="155"/>
    </row>
    <row r="308" ht="12.0" customHeight="1">
      <c r="A308" s="155"/>
      <c r="B308" s="155"/>
      <c r="C308" s="155"/>
      <c r="F308" s="155"/>
      <c r="I308" s="155"/>
    </row>
    <row r="309" ht="12.0" customHeight="1">
      <c r="A309" s="155"/>
      <c r="B309" s="155"/>
      <c r="C309" s="155"/>
      <c r="F309" s="155"/>
      <c r="I309" s="155"/>
    </row>
    <row r="310" ht="12.0" customHeight="1">
      <c r="A310" s="155"/>
      <c r="B310" s="155"/>
      <c r="C310" s="155"/>
      <c r="F310" s="155"/>
      <c r="I310" s="155"/>
    </row>
    <row r="311" ht="12.0" customHeight="1">
      <c r="A311" s="155"/>
      <c r="B311" s="155"/>
      <c r="C311" s="155"/>
      <c r="F311" s="155"/>
      <c r="I311" s="155"/>
    </row>
    <row r="312" ht="12.0" customHeight="1">
      <c r="A312" s="155"/>
      <c r="B312" s="155"/>
      <c r="C312" s="155"/>
      <c r="F312" s="155"/>
      <c r="I312" s="155"/>
    </row>
    <row r="313" ht="12.0" customHeight="1">
      <c r="A313" s="155"/>
      <c r="B313" s="155"/>
      <c r="C313" s="155"/>
      <c r="F313" s="155"/>
      <c r="I313" s="155"/>
    </row>
    <row r="314" ht="12.0" customHeight="1">
      <c r="A314" s="155"/>
      <c r="B314" s="155"/>
      <c r="C314" s="155"/>
      <c r="F314" s="155"/>
      <c r="I314" s="155"/>
    </row>
    <row r="315" ht="12.0" customHeight="1">
      <c r="A315" s="155"/>
      <c r="B315" s="155"/>
      <c r="C315" s="155"/>
      <c r="F315" s="155"/>
      <c r="I315" s="155"/>
    </row>
    <row r="316" ht="12.0" customHeight="1">
      <c r="A316" s="155"/>
      <c r="B316" s="155"/>
      <c r="C316" s="155"/>
      <c r="F316" s="155"/>
      <c r="I316" s="155"/>
    </row>
    <row r="317" ht="12.0" customHeight="1">
      <c r="A317" s="155"/>
      <c r="B317" s="155"/>
      <c r="C317" s="155"/>
      <c r="F317" s="155"/>
      <c r="I317" s="155"/>
    </row>
    <row r="318" ht="12.0" customHeight="1">
      <c r="A318" s="155"/>
      <c r="B318" s="155"/>
      <c r="C318" s="155"/>
      <c r="F318" s="155"/>
      <c r="I318" s="155"/>
    </row>
    <row r="319" ht="12.0" customHeight="1">
      <c r="A319" s="155"/>
      <c r="B319" s="155"/>
      <c r="C319" s="155"/>
      <c r="F319" s="155"/>
      <c r="I319" s="155"/>
    </row>
    <row r="320" ht="12.0" customHeight="1">
      <c r="A320" s="155"/>
      <c r="B320" s="155"/>
      <c r="C320" s="155"/>
      <c r="F320" s="155"/>
      <c r="I320" s="155"/>
    </row>
    <row r="321" ht="12.0" customHeight="1">
      <c r="A321" s="155"/>
      <c r="B321" s="155"/>
      <c r="C321" s="155"/>
      <c r="F321" s="155"/>
      <c r="I321" s="155"/>
    </row>
    <row r="322" ht="12.0" customHeight="1">
      <c r="A322" s="155"/>
      <c r="B322" s="155"/>
      <c r="C322" s="155"/>
      <c r="F322" s="155"/>
      <c r="I322" s="155"/>
    </row>
    <row r="323" ht="12.0" customHeight="1">
      <c r="A323" s="155"/>
      <c r="B323" s="155"/>
      <c r="C323" s="155"/>
      <c r="F323" s="155"/>
      <c r="I323" s="155"/>
    </row>
    <row r="324" ht="12.0" customHeight="1">
      <c r="A324" s="155"/>
      <c r="B324" s="155"/>
      <c r="C324" s="155"/>
      <c r="F324" s="155"/>
      <c r="I324" s="155"/>
    </row>
    <row r="325" ht="12.0" customHeight="1">
      <c r="A325" s="155"/>
      <c r="B325" s="155"/>
      <c r="C325" s="155"/>
      <c r="F325" s="155"/>
      <c r="I325" s="155"/>
    </row>
    <row r="326" ht="12.0" customHeight="1">
      <c r="A326" s="155"/>
      <c r="B326" s="155"/>
      <c r="C326" s="155"/>
      <c r="F326" s="155"/>
      <c r="I326" s="155"/>
    </row>
    <row r="327" ht="12.0" customHeight="1">
      <c r="A327" s="155"/>
      <c r="B327" s="155"/>
      <c r="C327" s="155"/>
      <c r="F327" s="155"/>
      <c r="I327" s="155"/>
    </row>
    <row r="328" ht="12.0" customHeight="1">
      <c r="A328" s="155"/>
      <c r="B328" s="155"/>
      <c r="C328" s="155"/>
      <c r="F328" s="155"/>
      <c r="I328" s="155"/>
    </row>
    <row r="329" ht="12.0" customHeight="1">
      <c r="A329" s="155"/>
      <c r="B329" s="155"/>
      <c r="C329" s="155"/>
      <c r="F329" s="155"/>
      <c r="I329" s="155"/>
    </row>
    <row r="330" ht="12.0" customHeight="1">
      <c r="A330" s="155"/>
      <c r="B330" s="155"/>
      <c r="C330" s="155"/>
      <c r="F330" s="155"/>
      <c r="I330" s="155"/>
    </row>
    <row r="331" ht="12.0" customHeight="1">
      <c r="A331" s="155"/>
      <c r="B331" s="155"/>
      <c r="C331" s="155"/>
      <c r="F331" s="155"/>
      <c r="I331" s="155"/>
    </row>
    <row r="332" ht="12.0" customHeight="1">
      <c r="A332" s="155"/>
      <c r="B332" s="155"/>
      <c r="C332" s="155"/>
      <c r="F332" s="155"/>
      <c r="I332" s="155"/>
    </row>
    <row r="333" ht="12.0" customHeight="1">
      <c r="A333" s="155"/>
      <c r="B333" s="155"/>
      <c r="C333" s="155"/>
      <c r="F333" s="155"/>
      <c r="I333" s="155"/>
    </row>
    <row r="334" ht="12.0" customHeight="1">
      <c r="A334" s="155"/>
      <c r="B334" s="155"/>
      <c r="C334" s="155"/>
      <c r="F334" s="155"/>
      <c r="I334" s="155"/>
    </row>
    <row r="335" ht="12.0" customHeight="1">
      <c r="A335" s="155"/>
      <c r="B335" s="155"/>
      <c r="C335" s="155"/>
      <c r="F335" s="155"/>
      <c r="I335" s="155"/>
    </row>
    <row r="336" ht="12.0" customHeight="1">
      <c r="A336" s="155"/>
      <c r="B336" s="155"/>
      <c r="C336" s="155"/>
      <c r="F336" s="155"/>
      <c r="I336" s="155"/>
    </row>
    <row r="337" ht="12.0" customHeight="1">
      <c r="A337" s="155"/>
      <c r="B337" s="155"/>
      <c r="C337" s="155"/>
      <c r="F337" s="155"/>
      <c r="I337" s="155"/>
    </row>
    <row r="338" ht="12.0" customHeight="1">
      <c r="A338" s="155"/>
      <c r="B338" s="155"/>
      <c r="C338" s="155"/>
      <c r="F338" s="155"/>
      <c r="I338" s="155"/>
    </row>
    <row r="339" ht="12.0" customHeight="1">
      <c r="A339" s="155"/>
      <c r="B339" s="155"/>
      <c r="C339" s="155"/>
      <c r="F339" s="155"/>
      <c r="I339" s="155"/>
    </row>
    <row r="340" ht="12.0" customHeight="1">
      <c r="A340" s="155"/>
      <c r="B340" s="155"/>
      <c r="C340" s="155"/>
      <c r="F340" s="155"/>
      <c r="I340" s="155"/>
    </row>
    <row r="341" ht="12.0" customHeight="1">
      <c r="A341" s="155"/>
      <c r="B341" s="155"/>
      <c r="C341" s="155"/>
      <c r="F341" s="155"/>
      <c r="I341" s="155"/>
    </row>
    <row r="342" ht="12.0" customHeight="1">
      <c r="A342" s="155"/>
      <c r="B342" s="155"/>
      <c r="C342" s="155"/>
      <c r="F342" s="155"/>
      <c r="I342" s="155"/>
    </row>
    <row r="343" ht="12.0" customHeight="1">
      <c r="A343" s="155"/>
      <c r="B343" s="155"/>
      <c r="C343" s="155"/>
      <c r="F343" s="155"/>
      <c r="I343" s="155"/>
    </row>
    <row r="344" ht="12.0" customHeight="1">
      <c r="A344" s="155"/>
      <c r="B344" s="155"/>
      <c r="C344" s="155"/>
      <c r="F344" s="155"/>
      <c r="I344" s="155"/>
    </row>
    <row r="345" ht="12.0" customHeight="1">
      <c r="A345" s="155"/>
      <c r="B345" s="155"/>
      <c r="C345" s="155"/>
      <c r="F345" s="155"/>
      <c r="I345" s="155"/>
    </row>
    <row r="346" ht="12.0" customHeight="1">
      <c r="A346" s="155"/>
      <c r="B346" s="155"/>
      <c r="C346" s="155"/>
      <c r="F346" s="155"/>
      <c r="I346" s="155"/>
    </row>
    <row r="347" ht="12.0" customHeight="1">
      <c r="A347" s="155"/>
      <c r="B347" s="155"/>
      <c r="C347" s="155"/>
      <c r="F347" s="155"/>
      <c r="I347" s="155"/>
    </row>
    <row r="348" ht="12.0" customHeight="1">
      <c r="A348" s="155"/>
      <c r="B348" s="155"/>
      <c r="C348" s="155"/>
      <c r="F348" s="155"/>
      <c r="I348" s="155"/>
    </row>
    <row r="349" ht="12.0" customHeight="1">
      <c r="A349" s="155"/>
      <c r="B349" s="155"/>
      <c r="C349" s="155"/>
      <c r="F349" s="155"/>
      <c r="I349" s="155"/>
    </row>
    <row r="350" ht="12.0" customHeight="1">
      <c r="A350" s="155"/>
      <c r="B350" s="155"/>
      <c r="C350" s="155"/>
      <c r="F350" s="155"/>
      <c r="I350" s="155"/>
    </row>
    <row r="351" ht="12.0" customHeight="1">
      <c r="A351" s="155"/>
      <c r="B351" s="155"/>
      <c r="C351" s="155"/>
      <c r="F351" s="155"/>
      <c r="I351" s="155"/>
    </row>
    <row r="352" ht="12.0" customHeight="1">
      <c r="A352" s="155"/>
      <c r="B352" s="155"/>
      <c r="C352" s="155"/>
      <c r="F352" s="155"/>
      <c r="I352" s="155"/>
    </row>
    <row r="353" ht="12.0" customHeight="1">
      <c r="A353" s="155"/>
      <c r="B353" s="155"/>
      <c r="C353" s="155"/>
      <c r="F353" s="155"/>
      <c r="I353" s="155"/>
    </row>
    <row r="354" ht="12.0" customHeight="1">
      <c r="A354" s="155"/>
      <c r="B354" s="155"/>
      <c r="C354" s="155"/>
      <c r="F354" s="155"/>
      <c r="I354" s="155"/>
    </row>
    <row r="355" ht="12.0" customHeight="1">
      <c r="A355" s="155"/>
      <c r="B355" s="155"/>
      <c r="C355" s="155"/>
      <c r="F355" s="155"/>
      <c r="I355" s="155"/>
    </row>
    <row r="356" ht="12.0" customHeight="1">
      <c r="A356" s="155"/>
      <c r="B356" s="155"/>
      <c r="C356" s="155"/>
      <c r="F356" s="155"/>
      <c r="I356" s="155"/>
    </row>
    <row r="357" ht="12.0" customHeight="1">
      <c r="A357" s="155"/>
      <c r="B357" s="155"/>
      <c r="C357" s="155"/>
      <c r="F357" s="155"/>
      <c r="I357" s="155"/>
    </row>
    <row r="358" ht="12.0" customHeight="1">
      <c r="A358" s="155"/>
      <c r="B358" s="155"/>
      <c r="C358" s="155"/>
      <c r="F358" s="155"/>
      <c r="I358" s="155"/>
    </row>
    <row r="359" ht="12.0" customHeight="1">
      <c r="A359" s="155"/>
      <c r="B359" s="155"/>
      <c r="C359" s="155"/>
      <c r="F359" s="155"/>
      <c r="I359" s="155"/>
    </row>
    <row r="360" ht="12.0" customHeight="1">
      <c r="A360" s="155"/>
      <c r="B360" s="155"/>
      <c r="C360" s="155"/>
      <c r="F360" s="155"/>
      <c r="I360" s="155"/>
    </row>
    <row r="361" ht="12.0" customHeight="1">
      <c r="A361" s="155"/>
      <c r="B361" s="155"/>
      <c r="C361" s="155"/>
      <c r="F361" s="155"/>
      <c r="I361" s="155"/>
    </row>
    <row r="362" ht="12.0" customHeight="1">
      <c r="A362" s="155"/>
      <c r="B362" s="155"/>
      <c r="C362" s="155"/>
      <c r="F362" s="155"/>
      <c r="I362" s="155"/>
    </row>
    <row r="363" ht="12.0" customHeight="1">
      <c r="A363" s="155"/>
      <c r="B363" s="155"/>
      <c r="C363" s="155"/>
      <c r="F363" s="155"/>
      <c r="I363" s="155"/>
    </row>
    <row r="364" ht="12.0" customHeight="1">
      <c r="A364" s="155"/>
      <c r="B364" s="155"/>
      <c r="C364" s="155"/>
      <c r="F364" s="155"/>
      <c r="I364" s="155"/>
    </row>
    <row r="365" ht="12.0" customHeight="1">
      <c r="A365" s="155"/>
      <c r="B365" s="155"/>
      <c r="C365" s="155"/>
      <c r="F365" s="155"/>
      <c r="I365" s="155"/>
    </row>
    <row r="366" ht="12.0" customHeight="1">
      <c r="A366" s="155"/>
      <c r="B366" s="155"/>
      <c r="C366" s="155"/>
      <c r="F366" s="155"/>
      <c r="I366" s="155"/>
    </row>
    <row r="367" ht="12.0" customHeight="1">
      <c r="A367" s="155"/>
      <c r="B367" s="155"/>
      <c r="C367" s="155"/>
      <c r="F367" s="155"/>
      <c r="I367" s="155"/>
    </row>
    <row r="368" ht="12.0" customHeight="1">
      <c r="A368" s="155"/>
      <c r="B368" s="155"/>
      <c r="C368" s="155"/>
      <c r="F368" s="155"/>
      <c r="I368" s="155"/>
    </row>
    <row r="369" ht="12.0" customHeight="1">
      <c r="A369" s="155"/>
      <c r="B369" s="155"/>
      <c r="C369" s="155"/>
      <c r="F369" s="155"/>
      <c r="I369" s="155"/>
    </row>
    <row r="370" ht="12.0" customHeight="1">
      <c r="A370" s="155"/>
      <c r="B370" s="155"/>
      <c r="C370" s="155"/>
      <c r="F370" s="155"/>
      <c r="I370" s="155"/>
    </row>
    <row r="371" ht="12.0" customHeight="1">
      <c r="A371" s="155"/>
      <c r="B371" s="155"/>
      <c r="C371" s="155"/>
      <c r="F371" s="155"/>
      <c r="I371" s="155"/>
    </row>
    <row r="372" ht="12.0" customHeight="1">
      <c r="A372" s="155"/>
      <c r="B372" s="155"/>
      <c r="C372" s="155"/>
      <c r="F372" s="155"/>
      <c r="I372" s="155"/>
    </row>
    <row r="373" ht="12.0" customHeight="1">
      <c r="A373" s="155"/>
      <c r="B373" s="155"/>
      <c r="C373" s="155"/>
      <c r="F373" s="155"/>
      <c r="I373" s="155"/>
    </row>
    <row r="374" ht="12.0" customHeight="1">
      <c r="A374" s="155"/>
      <c r="B374" s="155"/>
      <c r="C374" s="155"/>
      <c r="F374" s="155"/>
      <c r="I374" s="155"/>
    </row>
    <row r="375" ht="12.0" customHeight="1">
      <c r="A375" s="155"/>
      <c r="B375" s="155"/>
      <c r="C375" s="155"/>
      <c r="F375" s="155"/>
      <c r="I375" s="155"/>
    </row>
    <row r="376" ht="12.0" customHeight="1">
      <c r="A376" s="155"/>
      <c r="B376" s="155"/>
      <c r="C376" s="155"/>
      <c r="F376" s="155"/>
      <c r="I376" s="155"/>
    </row>
    <row r="377" ht="12.0" customHeight="1">
      <c r="A377" s="155"/>
      <c r="B377" s="155"/>
      <c r="C377" s="155"/>
      <c r="F377" s="155"/>
      <c r="I377" s="155"/>
    </row>
    <row r="378" ht="12.0" customHeight="1">
      <c r="A378" s="155"/>
      <c r="B378" s="155"/>
      <c r="C378" s="155"/>
      <c r="F378" s="155"/>
      <c r="I378" s="155"/>
    </row>
    <row r="379" ht="12.0" customHeight="1">
      <c r="A379" s="155"/>
      <c r="B379" s="155"/>
      <c r="C379" s="155"/>
      <c r="F379" s="155"/>
      <c r="I379" s="155"/>
    </row>
    <row r="380" ht="12.0" customHeight="1">
      <c r="A380" s="155"/>
      <c r="B380" s="155"/>
      <c r="C380" s="155"/>
      <c r="F380" s="155"/>
      <c r="I380" s="155"/>
    </row>
    <row r="381" ht="12.0" customHeight="1">
      <c r="A381" s="155"/>
      <c r="B381" s="155"/>
      <c r="C381" s="155"/>
      <c r="F381" s="155"/>
      <c r="I381" s="155"/>
    </row>
    <row r="382" ht="12.0" customHeight="1">
      <c r="A382" s="155"/>
      <c r="B382" s="155"/>
      <c r="C382" s="155"/>
      <c r="F382" s="155"/>
      <c r="I382" s="155"/>
    </row>
    <row r="383" ht="12.0" customHeight="1">
      <c r="A383" s="155"/>
      <c r="B383" s="155"/>
      <c r="C383" s="155"/>
      <c r="F383" s="155"/>
      <c r="I383" s="155"/>
    </row>
    <row r="384" ht="12.0" customHeight="1">
      <c r="A384" s="155"/>
      <c r="B384" s="155"/>
      <c r="C384" s="155"/>
      <c r="F384" s="155"/>
      <c r="I384" s="155"/>
    </row>
    <row r="385" ht="12.0" customHeight="1">
      <c r="A385" s="155"/>
      <c r="B385" s="155"/>
      <c r="C385" s="155"/>
      <c r="F385" s="155"/>
      <c r="I385" s="155"/>
    </row>
    <row r="386" ht="12.0" customHeight="1">
      <c r="A386" s="155"/>
      <c r="B386" s="155"/>
      <c r="C386" s="155"/>
      <c r="F386" s="155"/>
      <c r="I386" s="155"/>
    </row>
    <row r="387" ht="12.0" customHeight="1">
      <c r="A387" s="155"/>
      <c r="B387" s="155"/>
      <c r="C387" s="155"/>
      <c r="F387" s="155"/>
      <c r="I387" s="155"/>
    </row>
    <row r="388" ht="12.0" customHeight="1">
      <c r="A388" s="155"/>
      <c r="B388" s="155"/>
      <c r="C388" s="155"/>
      <c r="F388" s="155"/>
      <c r="I388" s="155"/>
    </row>
    <row r="389" ht="12.0" customHeight="1">
      <c r="A389" s="155"/>
      <c r="B389" s="155"/>
      <c r="C389" s="155"/>
      <c r="F389" s="155"/>
      <c r="I389" s="155"/>
    </row>
    <row r="390" ht="12.0" customHeight="1">
      <c r="A390" s="155"/>
      <c r="B390" s="155"/>
      <c r="C390" s="155"/>
      <c r="F390" s="155"/>
      <c r="I390" s="155"/>
    </row>
    <row r="391" ht="12.0" customHeight="1">
      <c r="A391" s="155"/>
      <c r="B391" s="155"/>
      <c r="C391" s="155"/>
      <c r="F391" s="155"/>
      <c r="I391" s="155"/>
    </row>
    <row r="392" ht="12.0" customHeight="1">
      <c r="A392" s="155"/>
      <c r="B392" s="155"/>
      <c r="C392" s="155"/>
      <c r="F392" s="155"/>
      <c r="I392" s="155"/>
    </row>
    <row r="393" ht="12.0" customHeight="1">
      <c r="A393" s="155"/>
      <c r="B393" s="155"/>
      <c r="C393" s="155"/>
      <c r="F393" s="155"/>
      <c r="I393" s="155"/>
    </row>
    <row r="394" ht="12.0" customHeight="1">
      <c r="A394" s="155"/>
      <c r="B394" s="155"/>
      <c r="C394" s="155"/>
      <c r="F394" s="155"/>
      <c r="I394" s="155"/>
    </row>
    <row r="395" ht="12.0" customHeight="1">
      <c r="A395" s="155"/>
      <c r="B395" s="155"/>
      <c r="C395" s="155"/>
      <c r="F395" s="155"/>
      <c r="I395" s="155"/>
    </row>
    <row r="396" ht="12.0" customHeight="1">
      <c r="A396" s="155"/>
      <c r="B396" s="155"/>
      <c r="C396" s="155"/>
      <c r="F396" s="155"/>
      <c r="I396" s="155"/>
    </row>
    <row r="397" ht="12.0" customHeight="1">
      <c r="A397" s="155"/>
      <c r="B397" s="155"/>
      <c r="C397" s="155"/>
      <c r="F397" s="155"/>
      <c r="I397" s="155"/>
    </row>
    <row r="398" ht="12.0" customHeight="1">
      <c r="A398" s="155"/>
      <c r="B398" s="155"/>
      <c r="C398" s="155"/>
      <c r="F398" s="155"/>
      <c r="I398" s="155"/>
    </row>
    <row r="399" ht="12.0" customHeight="1">
      <c r="A399" s="155"/>
      <c r="B399" s="155"/>
      <c r="C399" s="155"/>
      <c r="F399" s="155"/>
      <c r="I399" s="155"/>
    </row>
    <row r="400" ht="12.0" customHeight="1">
      <c r="A400" s="155"/>
      <c r="B400" s="155"/>
      <c r="C400" s="155"/>
      <c r="F400" s="155"/>
      <c r="I400" s="155"/>
    </row>
    <row r="401" ht="12.0" customHeight="1">
      <c r="A401" s="155"/>
      <c r="B401" s="155"/>
      <c r="C401" s="155"/>
      <c r="F401" s="155"/>
      <c r="I401" s="155"/>
    </row>
    <row r="402" ht="12.0" customHeight="1">
      <c r="A402" s="155"/>
      <c r="B402" s="155"/>
      <c r="C402" s="155"/>
      <c r="F402" s="155"/>
      <c r="I402" s="155"/>
    </row>
    <row r="403" ht="12.0" customHeight="1">
      <c r="A403" s="155"/>
      <c r="B403" s="155"/>
      <c r="C403" s="155"/>
      <c r="F403" s="155"/>
      <c r="I403" s="155"/>
    </row>
    <row r="404" ht="12.0" customHeight="1">
      <c r="A404" s="155"/>
      <c r="B404" s="155"/>
      <c r="C404" s="155"/>
      <c r="F404" s="155"/>
      <c r="I404" s="155"/>
    </row>
    <row r="405" ht="12.0" customHeight="1">
      <c r="A405" s="155"/>
      <c r="B405" s="155"/>
      <c r="C405" s="155"/>
      <c r="F405" s="155"/>
      <c r="I405" s="155"/>
    </row>
    <row r="406" ht="12.0" customHeight="1">
      <c r="A406" s="155"/>
      <c r="B406" s="155"/>
      <c r="C406" s="155"/>
      <c r="F406" s="155"/>
      <c r="I406" s="155"/>
    </row>
    <row r="407" ht="12.0" customHeight="1">
      <c r="A407" s="155"/>
      <c r="B407" s="155"/>
      <c r="C407" s="155"/>
      <c r="F407" s="155"/>
      <c r="I407" s="155"/>
    </row>
    <row r="408" ht="12.0" customHeight="1">
      <c r="A408" s="155"/>
      <c r="B408" s="155"/>
      <c r="C408" s="155"/>
      <c r="F408" s="155"/>
      <c r="I408" s="155"/>
    </row>
    <row r="409" ht="12.0" customHeight="1">
      <c r="A409" s="155"/>
      <c r="B409" s="155"/>
      <c r="C409" s="155"/>
      <c r="F409" s="155"/>
      <c r="I409" s="155"/>
    </row>
    <row r="410" ht="12.0" customHeight="1">
      <c r="A410" s="155"/>
      <c r="B410" s="155"/>
      <c r="C410" s="155"/>
      <c r="F410" s="155"/>
      <c r="I410" s="155"/>
    </row>
    <row r="411" ht="12.0" customHeight="1">
      <c r="A411" s="155"/>
      <c r="B411" s="155"/>
      <c r="C411" s="155"/>
      <c r="F411" s="155"/>
      <c r="I411" s="155"/>
    </row>
    <row r="412" ht="12.0" customHeight="1">
      <c r="A412" s="155"/>
      <c r="B412" s="155"/>
      <c r="C412" s="155"/>
      <c r="F412" s="155"/>
      <c r="I412" s="155"/>
    </row>
    <row r="413" ht="12.0" customHeight="1">
      <c r="A413" s="155"/>
      <c r="B413" s="155"/>
      <c r="C413" s="155"/>
      <c r="F413" s="155"/>
      <c r="I413" s="155"/>
    </row>
    <row r="414" ht="12.0" customHeight="1">
      <c r="A414" s="155"/>
      <c r="B414" s="155"/>
      <c r="C414" s="155"/>
      <c r="F414" s="155"/>
      <c r="I414" s="155"/>
    </row>
    <row r="415" ht="12.0" customHeight="1">
      <c r="A415" s="155"/>
      <c r="B415" s="155"/>
      <c r="C415" s="155"/>
      <c r="F415" s="155"/>
      <c r="I415" s="155"/>
    </row>
    <row r="416" ht="12.0" customHeight="1">
      <c r="A416" s="155"/>
      <c r="B416" s="155"/>
      <c r="C416" s="155"/>
      <c r="F416" s="155"/>
      <c r="I416" s="155"/>
    </row>
    <row r="417" ht="12.0" customHeight="1">
      <c r="A417" s="155"/>
      <c r="B417" s="155"/>
      <c r="C417" s="155"/>
      <c r="F417" s="155"/>
      <c r="I417" s="155"/>
    </row>
    <row r="418" ht="12.0" customHeight="1">
      <c r="A418" s="155"/>
      <c r="B418" s="155"/>
      <c r="C418" s="155"/>
      <c r="F418" s="155"/>
      <c r="I418" s="155"/>
    </row>
    <row r="419" ht="12.0" customHeight="1">
      <c r="A419" s="155"/>
      <c r="B419" s="155"/>
      <c r="C419" s="155"/>
      <c r="F419" s="155"/>
      <c r="I419" s="155"/>
    </row>
    <row r="420" ht="12.0" customHeight="1">
      <c r="A420" s="155"/>
      <c r="B420" s="155"/>
      <c r="C420" s="155"/>
      <c r="F420" s="155"/>
      <c r="I420" s="155"/>
    </row>
    <row r="421" ht="12.0" customHeight="1">
      <c r="A421" s="155"/>
      <c r="B421" s="155"/>
      <c r="C421" s="155"/>
      <c r="F421" s="155"/>
      <c r="I421" s="155"/>
    </row>
    <row r="422" ht="12.0" customHeight="1">
      <c r="A422" s="155"/>
      <c r="B422" s="155"/>
      <c r="C422" s="155"/>
      <c r="F422" s="155"/>
      <c r="I422" s="155"/>
    </row>
    <row r="423" ht="12.0" customHeight="1">
      <c r="A423" s="155"/>
      <c r="B423" s="155"/>
      <c r="C423" s="155"/>
      <c r="F423" s="155"/>
      <c r="I423" s="155"/>
    </row>
    <row r="424" ht="12.0" customHeight="1">
      <c r="A424" s="155"/>
      <c r="B424" s="155"/>
      <c r="C424" s="155"/>
      <c r="F424" s="155"/>
      <c r="I424" s="155"/>
    </row>
    <row r="425" ht="12.0" customHeight="1">
      <c r="A425" s="155"/>
      <c r="B425" s="155"/>
      <c r="C425" s="155"/>
      <c r="F425" s="155"/>
      <c r="I425" s="155"/>
    </row>
    <row r="426" ht="12.0" customHeight="1">
      <c r="A426" s="155"/>
      <c r="B426" s="155"/>
      <c r="C426" s="155"/>
      <c r="F426" s="155"/>
      <c r="I426" s="155"/>
    </row>
    <row r="427" ht="12.0" customHeight="1">
      <c r="A427" s="155"/>
      <c r="B427" s="155"/>
      <c r="C427" s="155"/>
      <c r="F427" s="155"/>
      <c r="I427" s="155"/>
    </row>
    <row r="428" ht="12.0" customHeight="1">
      <c r="A428" s="155"/>
      <c r="B428" s="155"/>
      <c r="C428" s="155"/>
      <c r="F428" s="155"/>
      <c r="I428" s="155"/>
    </row>
    <row r="429" ht="12.0" customHeight="1">
      <c r="A429" s="155"/>
      <c r="B429" s="155"/>
      <c r="C429" s="155"/>
      <c r="F429" s="155"/>
      <c r="I429" s="155"/>
    </row>
    <row r="430" ht="12.0" customHeight="1">
      <c r="A430" s="155"/>
      <c r="B430" s="155"/>
      <c r="C430" s="155"/>
      <c r="F430" s="155"/>
      <c r="I430" s="155"/>
    </row>
    <row r="431" ht="12.0" customHeight="1">
      <c r="A431" s="155"/>
      <c r="B431" s="155"/>
      <c r="C431" s="155"/>
      <c r="F431" s="155"/>
      <c r="I431" s="155"/>
    </row>
    <row r="432" ht="12.0" customHeight="1">
      <c r="A432" s="155"/>
      <c r="B432" s="155"/>
      <c r="C432" s="155"/>
      <c r="F432" s="155"/>
      <c r="I432" s="155"/>
    </row>
    <row r="433" ht="12.0" customHeight="1">
      <c r="A433" s="155"/>
      <c r="B433" s="155"/>
      <c r="C433" s="155"/>
      <c r="F433" s="155"/>
      <c r="I433" s="155"/>
    </row>
    <row r="434" ht="12.0" customHeight="1">
      <c r="A434" s="155"/>
      <c r="B434" s="155"/>
      <c r="C434" s="155"/>
      <c r="F434" s="155"/>
      <c r="I434" s="155"/>
    </row>
    <row r="435" ht="12.0" customHeight="1">
      <c r="A435" s="155"/>
      <c r="B435" s="155"/>
      <c r="C435" s="155"/>
      <c r="F435" s="155"/>
      <c r="I435" s="155"/>
    </row>
    <row r="436" ht="12.0" customHeight="1">
      <c r="A436" s="155"/>
      <c r="B436" s="155"/>
      <c r="C436" s="155"/>
      <c r="F436" s="155"/>
      <c r="I436" s="155"/>
    </row>
    <row r="437" ht="12.0" customHeight="1">
      <c r="A437" s="155"/>
      <c r="B437" s="155"/>
      <c r="C437" s="155"/>
      <c r="F437" s="155"/>
      <c r="I437" s="155"/>
    </row>
    <row r="438" ht="12.0" customHeight="1">
      <c r="A438" s="155"/>
      <c r="B438" s="155"/>
      <c r="C438" s="155"/>
      <c r="F438" s="155"/>
      <c r="I438" s="155"/>
    </row>
    <row r="439" ht="12.0" customHeight="1">
      <c r="A439" s="155"/>
      <c r="B439" s="155"/>
      <c r="C439" s="155"/>
      <c r="F439" s="155"/>
      <c r="I439" s="155"/>
    </row>
    <row r="440" ht="12.0" customHeight="1">
      <c r="A440" s="155"/>
      <c r="B440" s="155"/>
      <c r="C440" s="155"/>
      <c r="F440" s="155"/>
      <c r="I440" s="155"/>
    </row>
    <row r="441" ht="12.0" customHeight="1">
      <c r="A441" s="155"/>
      <c r="B441" s="155"/>
      <c r="C441" s="155"/>
      <c r="F441" s="155"/>
      <c r="I441" s="155"/>
    </row>
    <row r="442" ht="12.0" customHeight="1">
      <c r="A442" s="155"/>
      <c r="B442" s="155"/>
      <c r="C442" s="155"/>
      <c r="F442" s="155"/>
      <c r="I442" s="155"/>
    </row>
    <row r="443" ht="12.0" customHeight="1">
      <c r="A443" s="155"/>
      <c r="B443" s="155"/>
      <c r="C443" s="155"/>
      <c r="F443" s="155"/>
      <c r="I443" s="155"/>
    </row>
    <row r="444" ht="12.0" customHeight="1">
      <c r="A444" s="155"/>
      <c r="B444" s="155"/>
      <c r="C444" s="155"/>
      <c r="F444" s="155"/>
      <c r="I444" s="155"/>
    </row>
    <row r="445" ht="12.0" customHeight="1">
      <c r="A445" s="155"/>
      <c r="B445" s="155"/>
      <c r="C445" s="155"/>
      <c r="F445" s="155"/>
      <c r="I445" s="155"/>
    </row>
    <row r="446" ht="12.0" customHeight="1">
      <c r="A446" s="155"/>
      <c r="B446" s="155"/>
      <c r="C446" s="155"/>
      <c r="F446" s="155"/>
      <c r="I446" s="155"/>
    </row>
    <row r="447" ht="12.0" customHeight="1">
      <c r="A447" s="155"/>
      <c r="B447" s="155"/>
      <c r="C447" s="155"/>
      <c r="F447" s="155"/>
      <c r="I447" s="155"/>
    </row>
    <row r="448" ht="12.0" customHeight="1">
      <c r="A448" s="155"/>
      <c r="B448" s="155"/>
      <c r="C448" s="155"/>
      <c r="F448" s="155"/>
      <c r="I448" s="155"/>
    </row>
    <row r="449" ht="12.0" customHeight="1">
      <c r="A449" s="155"/>
      <c r="B449" s="155"/>
      <c r="C449" s="155"/>
      <c r="F449" s="155"/>
      <c r="I449" s="155"/>
    </row>
    <row r="450" ht="12.0" customHeight="1">
      <c r="A450" s="155"/>
      <c r="B450" s="155"/>
      <c r="C450" s="155"/>
      <c r="F450" s="155"/>
      <c r="I450" s="155"/>
    </row>
    <row r="451" ht="12.0" customHeight="1">
      <c r="A451" s="155"/>
      <c r="B451" s="155"/>
      <c r="C451" s="155"/>
      <c r="F451" s="155"/>
      <c r="I451" s="155"/>
    </row>
    <row r="452" ht="12.0" customHeight="1">
      <c r="A452" s="155"/>
      <c r="B452" s="155"/>
      <c r="C452" s="155"/>
      <c r="F452" s="155"/>
      <c r="I452" s="155"/>
    </row>
    <row r="453" ht="12.0" customHeight="1">
      <c r="A453" s="155"/>
      <c r="B453" s="155"/>
      <c r="C453" s="155"/>
      <c r="F453" s="155"/>
      <c r="I453" s="155"/>
    </row>
    <row r="454" ht="12.0" customHeight="1">
      <c r="A454" s="155"/>
      <c r="B454" s="155"/>
      <c r="C454" s="155"/>
      <c r="F454" s="155"/>
      <c r="I454" s="155"/>
    </row>
    <row r="455" ht="12.0" customHeight="1">
      <c r="A455" s="155"/>
      <c r="B455" s="155"/>
      <c r="C455" s="155"/>
      <c r="F455" s="155"/>
      <c r="I455" s="155"/>
    </row>
    <row r="456" ht="12.0" customHeight="1">
      <c r="A456" s="155"/>
      <c r="B456" s="155"/>
      <c r="C456" s="155"/>
      <c r="F456" s="155"/>
      <c r="I456" s="155"/>
    </row>
    <row r="457" ht="12.0" customHeight="1">
      <c r="A457" s="155"/>
      <c r="B457" s="155"/>
      <c r="C457" s="155"/>
      <c r="F457" s="155"/>
      <c r="I457" s="155"/>
    </row>
    <row r="458" ht="12.0" customHeight="1">
      <c r="A458" s="155"/>
      <c r="B458" s="155"/>
      <c r="C458" s="155"/>
      <c r="F458" s="155"/>
      <c r="I458" s="155"/>
    </row>
    <row r="459" ht="12.0" customHeight="1">
      <c r="A459" s="155"/>
      <c r="B459" s="155"/>
      <c r="C459" s="155"/>
      <c r="F459" s="155"/>
      <c r="I459" s="155"/>
    </row>
    <row r="460" ht="12.0" customHeight="1">
      <c r="A460" s="155"/>
      <c r="B460" s="155"/>
      <c r="C460" s="155"/>
      <c r="F460" s="155"/>
      <c r="I460" s="155"/>
    </row>
    <row r="461" ht="12.0" customHeight="1">
      <c r="A461" s="155"/>
      <c r="B461" s="155"/>
      <c r="C461" s="155"/>
      <c r="F461" s="155"/>
      <c r="I461" s="155"/>
    </row>
    <row r="462" ht="12.0" customHeight="1">
      <c r="A462" s="155"/>
      <c r="B462" s="155"/>
      <c r="C462" s="155"/>
      <c r="F462" s="155"/>
      <c r="I462" s="155"/>
    </row>
    <row r="463" ht="12.0" customHeight="1">
      <c r="A463" s="155"/>
      <c r="B463" s="155"/>
      <c r="C463" s="155"/>
      <c r="F463" s="155"/>
      <c r="I463" s="155"/>
    </row>
    <row r="464" ht="12.0" customHeight="1">
      <c r="A464" s="155"/>
      <c r="B464" s="155"/>
      <c r="C464" s="155"/>
      <c r="F464" s="155"/>
      <c r="I464" s="155"/>
    </row>
    <row r="465" ht="12.0" customHeight="1">
      <c r="A465" s="155"/>
      <c r="B465" s="155"/>
      <c r="C465" s="155"/>
      <c r="F465" s="155"/>
      <c r="I465" s="155"/>
    </row>
    <row r="466" ht="12.0" customHeight="1">
      <c r="A466" s="155"/>
      <c r="B466" s="155"/>
      <c r="C466" s="155"/>
      <c r="F466" s="155"/>
      <c r="I466" s="155"/>
    </row>
    <row r="467" ht="12.0" customHeight="1">
      <c r="A467" s="155"/>
      <c r="B467" s="155"/>
      <c r="C467" s="155"/>
      <c r="F467" s="155"/>
      <c r="I467" s="155"/>
    </row>
    <row r="468" ht="12.0" customHeight="1">
      <c r="A468" s="155"/>
      <c r="B468" s="155"/>
      <c r="C468" s="155"/>
      <c r="F468" s="155"/>
      <c r="I468" s="155"/>
    </row>
    <row r="469" ht="12.0" customHeight="1">
      <c r="A469" s="155"/>
      <c r="B469" s="155"/>
      <c r="C469" s="155"/>
      <c r="F469" s="155"/>
      <c r="I469" s="155"/>
    </row>
    <row r="470" ht="12.0" customHeight="1">
      <c r="A470" s="155"/>
      <c r="B470" s="155"/>
      <c r="C470" s="155"/>
      <c r="F470" s="155"/>
      <c r="I470" s="155"/>
    </row>
    <row r="471" ht="12.0" customHeight="1">
      <c r="A471" s="155"/>
      <c r="B471" s="155"/>
      <c r="C471" s="155"/>
      <c r="F471" s="155"/>
      <c r="I471" s="155"/>
    </row>
    <row r="472" ht="12.0" customHeight="1">
      <c r="A472" s="155"/>
      <c r="B472" s="155"/>
      <c r="C472" s="155"/>
      <c r="F472" s="155"/>
      <c r="I472" s="155"/>
    </row>
    <row r="473" ht="12.0" customHeight="1">
      <c r="A473" s="155"/>
      <c r="B473" s="155"/>
      <c r="C473" s="155"/>
      <c r="F473" s="155"/>
      <c r="I473" s="155"/>
    </row>
    <row r="474" ht="12.0" customHeight="1">
      <c r="A474" s="155"/>
      <c r="B474" s="155"/>
      <c r="C474" s="155"/>
      <c r="F474" s="155"/>
      <c r="I474" s="155"/>
    </row>
    <row r="475" ht="12.0" customHeight="1">
      <c r="A475" s="155"/>
      <c r="B475" s="155"/>
      <c r="C475" s="155"/>
      <c r="F475" s="155"/>
      <c r="I475" s="155"/>
    </row>
    <row r="476" ht="12.0" customHeight="1">
      <c r="A476" s="155"/>
      <c r="B476" s="155"/>
      <c r="C476" s="155"/>
      <c r="F476" s="155"/>
      <c r="I476" s="155"/>
    </row>
    <row r="477" ht="12.0" customHeight="1">
      <c r="A477" s="155"/>
      <c r="B477" s="155"/>
      <c r="C477" s="155"/>
      <c r="F477" s="155"/>
      <c r="I477" s="155"/>
    </row>
    <row r="478" ht="12.0" customHeight="1">
      <c r="A478" s="155"/>
      <c r="B478" s="155"/>
      <c r="C478" s="155"/>
      <c r="F478" s="155"/>
      <c r="I478" s="155"/>
    </row>
    <row r="479" ht="12.0" customHeight="1">
      <c r="A479" s="155"/>
      <c r="B479" s="155"/>
      <c r="C479" s="155"/>
      <c r="F479" s="155"/>
      <c r="I479" s="155"/>
    </row>
    <row r="480" ht="12.0" customHeight="1">
      <c r="A480" s="155"/>
      <c r="B480" s="155"/>
      <c r="C480" s="155"/>
      <c r="F480" s="155"/>
      <c r="I480" s="155"/>
    </row>
    <row r="481" ht="12.0" customHeight="1">
      <c r="A481" s="155"/>
      <c r="B481" s="155"/>
      <c r="C481" s="155"/>
      <c r="F481" s="155"/>
      <c r="I481" s="155"/>
    </row>
    <row r="482" ht="12.0" customHeight="1">
      <c r="A482" s="155"/>
      <c r="B482" s="155"/>
      <c r="C482" s="155"/>
      <c r="F482" s="155"/>
      <c r="I482" s="155"/>
    </row>
    <row r="483" ht="12.0" customHeight="1">
      <c r="A483" s="155"/>
      <c r="B483" s="155"/>
      <c r="C483" s="155"/>
      <c r="F483" s="155"/>
      <c r="I483" s="155"/>
    </row>
    <row r="484" ht="12.0" customHeight="1">
      <c r="A484" s="155"/>
      <c r="B484" s="155"/>
      <c r="C484" s="155"/>
      <c r="F484" s="155"/>
      <c r="I484" s="155"/>
    </row>
    <row r="485" ht="12.0" customHeight="1">
      <c r="A485" s="155"/>
      <c r="B485" s="155"/>
      <c r="C485" s="155"/>
      <c r="F485" s="155"/>
      <c r="I485" s="155"/>
    </row>
    <row r="486" ht="12.0" customHeight="1">
      <c r="A486" s="155"/>
      <c r="B486" s="155"/>
      <c r="C486" s="155"/>
      <c r="F486" s="155"/>
      <c r="I486" s="155"/>
    </row>
    <row r="487" ht="12.0" customHeight="1">
      <c r="A487" s="155"/>
      <c r="B487" s="155"/>
      <c r="C487" s="155"/>
      <c r="F487" s="155"/>
      <c r="I487" s="155"/>
    </row>
    <row r="488" ht="12.0" customHeight="1">
      <c r="A488" s="155"/>
      <c r="B488" s="155"/>
      <c r="C488" s="155"/>
      <c r="F488" s="155"/>
      <c r="I488" s="155"/>
    </row>
    <row r="489" ht="12.0" customHeight="1">
      <c r="A489" s="155"/>
      <c r="B489" s="155"/>
      <c r="C489" s="155"/>
      <c r="F489" s="155"/>
      <c r="I489" s="155"/>
    </row>
    <row r="490" ht="12.0" customHeight="1">
      <c r="A490" s="155"/>
      <c r="B490" s="155"/>
      <c r="C490" s="155"/>
      <c r="F490" s="155"/>
      <c r="I490" s="155"/>
    </row>
    <row r="491" ht="12.0" customHeight="1">
      <c r="A491" s="155"/>
      <c r="B491" s="155"/>
      <c r="C491" s="155"/>
      <c r="F491" s="155"/>
      <c r="I491" s="155"/>
    </row>
    <row r="492" ht="12.0" customHeight="1">
      <c r="A492" s="155"/>
      <c r="B492" s="155"/>
      <c r="C492" s="155"/>
      <c r="F492" s="155"/>
      <c r="I492" s="155"/>
    </row>
    <row r="493" ht="12.0" customHeight="1">
      <c r="A493" s="155"/>
      <c r="B493" s="155"/>
      <c r="C493" s="155"/>
      <c r="F493" s="155"/>
      <c r="I493" s="155"/>
    </row>
    <row r="494" ht="12.0" customHeight="1">
      <c r="A494" s="155"/>
      <c r="B494" s="155"/>
      <c r="C494" s="155"/>
      <c r="F494" s="155"/>
      <c r="I494" s="155"/>
    </row>
    <row r="495" ht="12.0" customHeight="1">
      <c r="A495" s="155"/>
      <c r="B495" s="155"/>
      <c r="C495" s="155"/>
      <c r="F495" s="155"/>
      <c r="I495" s="155"/>
    </row>
    <row r="496" ht="12.0" customHeight="1">
      <c r="A496" s="155"/>
      <c r="B496" s="155"/>
      <c r="C496" s="155"/>
      <c r="F496" s="155"/>
      <c r="I496" s="155"/>
    </row>
    <row r="497" ht="12.0" customHeight="1">
      <c r="A497" s="155"/>
      <c r="B497" s="155"/>
      <c r="C497" s="155"/>
      <c r="F497" s="155"/>
      <c r="I497" s="155"/>
    </row>
    <row r="498" ht="12.0" customHeight="1">
      <c r="A498" s="155"/>
      <c r="B498" s="155"/>
      <c r="C498" s="155"/>
      <c r="F498" s="155"/>
      <c r="I498" s="155"/>
    </row>
    <row r="499" ht="12.0" customHeight="1">
      <c r="A499" s="155"/>
      <c r="B499" s="155"/>
      <c r="C499" s="155"/>
      <c r="F499" s="155"/>
      <c r="I499" s="155"/>
    </row>
    <row r="500" ht="12.0" customHeight="1">
      <c r="A500" s="155"/>
      <c r="B500" s="155"/>
      <c r="C500" s="155"/>
      <c r="F500" s="155"/>
      <c r="I500" s="155"/>
    </row>
    <row r="501" ht="12.0" customHeight="1">
      <c r="A501" s="155"/>
      <c r="B501" s="155"/>
      <c r="C501" s="155"/>
      <c r="F501" s="155"/>
      <c r="I501" s="155"/>
    </row>
    <row r="502" ht="12.0" customHeight="1">
      <c r="A502" s="155"/>
      <c r="B502" s="155"/>
      <c r="C502" s="155"/>
      <c r="F502" s="155"/>
      <c r="I502" s="155"/>
    </row>
    <row r="503" ht="12.0" customHeight="1">
      <c r="A503" s="155"/>
      <c r="B503" s="155"/>
      <c r="C503" s="155"/>
      <c r="F503" s="155"/>
      <c r="I503" s="155"/>
    </row>
    <row r="504" ht="12.0" customHeight="1">
      <c r="A504" s="155"/>
      <c r="B504" s="155"/>
      <c r="C504" s="155"/>
      <c r="F504" s="155"/>
      <c r="I504" s="155"/>
    </row>
    <row r="505" ht="12.0" customHeight="1">
      <c r="A505" s="155"/>
      <c r="B505" s="155"/>
      <c r="C505" s="155"/>
      <c r="F505" s="155"/>
      <c r="I505" s="155"/>
    </row>
    <row r="506" ht="12.0" customHeight="1">
      <c r="A506" s="155"/>
      <c r="B506" s="155"/>
      <c r="C506" s="155"/>
      <c r="F506" s="155"/>
      <c r="I506" s="155"/>
    </row>
    <row r="507" ht="12.0" customHeight="1">
      <c r="A507" s="155"/>
      <c r="B507" s="155"/>
      <c r="C507" s="155"/>
      <c r="F507" s="155"/>
      <c r="I507" s="155"/>
    </row>
    <row r="508" ht="12.0" customHeight="1">
      <c r="A508" s="155"/>
      <c r="B508" s="155"/>
      <c r="C508" s="155"/>
      <c r="F508" s="155"/>
      <c r="I508" s="155"/>
    </row>
    <row r="509" ht="12.0" customHeight="1">
      <c r="A509" s="155"/>
      <c r="B509" s="155"/>
      <c r="C509" s="155"/>
      <c r="F509" s="155"/>
      <c r="I509" s="155"/>
    </row>
    <row r="510" ht="12.0" customHeight="1">
      <c r="A510" s="155"/>
      <c r="B510" s="155"/>
      <c r="C510" s="155"/>
      <c r="F510" s="155"/>
      <c r="I510" s="155"/>
    </row>
    <row r="511" ht="12.0" customHeight="1">
      <c r="A511" s="155"/>
      <c r="B511" s="155"/>
      <c r="C511" s="155"/>
      <c r="F511" s="155"/>
      <c r="I511" s="155"/>
    </row>
    <row r="512" ht="12.0" customHeight="1">
      <c r="A512" s="155"/>
      <c r="B512" s="155"/>
      <c r="C512" s="155"/>
      <c r="F512" s="155"/>
      <c r="I512" s="155"/>
    </row>
    <row r="513" ht="12.0" customHeight="1">
      <c r="A513" s="155"/>
      <c r="B513" s="155"/>
      <c r="C513" s="155"/>
      <c r="F513" s="155"/>
      <c r="I513" s="155"/>
    </row>
    <row r="514" ht="12.0" customHeight="1">
      <c r="A514" s="155"/>
      <c r="B514" s="155"/>
      <c r="C514" s="155"/>
      <c r="F514" s="155"/>
      <c r="I514" s="155"/>
    </row>
    <row r="515" ht="12.0" customHeight="1">
      <c r="A515" s="155"/>
      <c r="B515" s="155"/>
      <c r="C515" s="155"/>
      <c r="F515" s="155"/>
      <c r="I515" s="155"/>
    </row>
    <row r="516" ht="12.0" customHeight="1">
      <c r="A516" s="155"/>
      <c r="B516" s="155"/>
      <c r="C516" s="155"/>
      <c r="F516" s="155"/>
      <c r="I516" s="155"/>
    </row>
    <row r="517" ht="12.0" customHeight="1">
      <c r="A517" s="155"/>
      <c r="B517" s="155"/>
      <c r="C517" s="155"/>
      <c r="F517" s="155"/>
      <c r="I517" s="155"/>
    </row>
    <row r="518" ht="12.0" customHeight="1">
      <c r="A518" s="155"/>
      <c r="B518" s="155"/>
      <c r="C518" s="155"/>
      <c r="F518" s="155"/>
      <c r="I518" s="155"/>
    </row>
    <row r="519" ht="12.0" customHeight="1">
      <c r="A519" s="155"/>
      <c r="B519" s="155"/>
      <c r="C519" s="155"/>
      <c r="F519" s="155"/>
      <c r="I519" s="155"/>
    </row>
    <row r="520" ht="12.0" customHeight="1">
      <c r="A520" s="155"/>
      <c r="B520" s="155"/>
      <c r="C520" s="155"/>
      <c r="F520" s="155"/>
      <c r="I520" s="155"/>
    </row>
    <row r="521" ht="12.0" customHeight="1">
      <c r="A521" s="155"/>
      <c r="B521" s="155"/>
      <c r="C521" s="155"/>
      <c r="F521" s="155"/>
      <c r="I521" s="155"/>
    </row>
    <row r="522" ht="12.0" customHeight="1">
      <c r="A522" s="155"/>
      <c r="B522" s="155"/>
      <c r="C522" s="155"/>
      <c r="F522" s="155"/>
      <c r="I522" s="155"/>
    </row>
    <row r="523" ht="12.0" customHeight="1">
      <c r="A523" s="155"/>
      <c r="B523" s="155"/>
      <c r="C523" s="155"/>
      <c r="F523" s="155"/>
      <c r="I523" s="155"/>
    </row>
    <row r="524" ht="12.0" customHeight="1">
      <c r="A524" s="155"/>
      <c r="B524" s="155"/>
      <c r="C524" s="155"/>
      <c r="F524" s="155"/>
      <c r="I524" s="155"/>
    </row>
    <row r="525" ht="12.0" customHeight="1">
      <c r="A525" s="155"/>
      <c r="B525" s="155"/>
      <c r="C525" s="155"/>
      <c r="F525" s="155"/>
      <c r="I525" s="155"/>
    </row>
    <row r="526" ht="12.0" customHeight="1">
      <c r="A526" s="155"/>
      <c r="B526" s="155"/>
      <c r="C526" s="155"/>
      <c r="F526" s="155"/>
      <c r="I526" s="155"/>
    </row>
    <row r="527" ht="12.0" customHeight="1">
      <c r="A527" s="155"/>
      <c r="B527" s="155"/>
      <c r="C527" s="155"/>
      <c r="F527" s="155"/>
      <c r="I527" s="155"/>
    </row>
    <row r="528" ht="12.0" customHeight="1">
      <c r="A528" s="155"/>
      <c r="B528" s="155"/>
      <c r="C528" s="155"/>
      <c r="F528" s="155"/>
      <c r="I528" s="155"/>
    </row>
    <row r="529" ht="12.0" customHeight="1">
      <c r="A529" s="155"/>
      <c r="B529" s="155"/>
      <c r="C529" s="155"/>
      <c r="F529" s="155"/>
      <c r="I529" s="155"/>
    </row>
    <row r="530" ht="12.0" customHeight="1">
      <c r="A530" s="155"/>
      <c r="B530" s="155"/>
      <c r="C530" s="155"/>
      <c r="F530" s="155"/>
      <c r="I530" s="155"/>
    </row>
    <row r="531" ht="12.0" customHeight="1">
      <c r="A531" s="155"/>
      <c r="B531" s="155"/>
      <c r="C531" s="155"/>
      <c r="F531" s="155"/>
      <c r="I531" s="155"/>
    </row>
    <row r="532" ht="12.0" customHeight="1">
      <c r="A532" s="155"/>
      <c r="B532" s="155"/>
      <c r="C532" s="155"/>
      <c r="F532" s="155"/>
      <c r="I532" s="155"/>
    </row>
    <row r="533" ht="12.0" customHeight="1">
      <c r="A533" s="155"/>
      <c r="B533" s="155"/>
      <c r="C533" s="155"/>
      <c r="F533" s="155"/>
      <c r="I533" s="155"/>
    </row>
    <row r="534" ht="12.0" customHeight="1">
      <c r="A534" s="155"/>
      <c r="B534" s="155"/>
      <c r="C534" s="155"/>
      <c r="F534" s="155"/>
      <c r="I534" s="155"/>
    </row>
    <row r="535" ht="12.0" customHeight="1">
      <c r="A535" s="155"/>
      <c r="B535" s="155"/>
      <c r="C535" s="155"/>
      <c r="F535" s="155"/>
      <c r="I535" s="155"/>
    </row>
    <row r="536" ht="12.0" customHeight="1">
      <c r="A536" s="155"/>
      <c r="B536" s="155"/>
      <c r="C536" s="155"/>
      <c r="F536" s="155"/>
      <c r="I536" s="155"/>
    </row>
    <row r="537" ht="12.0" customHeight="1">
      <c r="A537" s="155"/>
      <c r="B537" s="155"/>
      <c r="C537" s="155"/>
      <c r="F537" s="155"/>
      <c r="I537" s="155"/>
    </row>
    <row r="538" ht="12.0" customHeight="1">
      <c r="A538" s="155"/>
      <c r="B538" s="155"/>
      <c r="C538" s="155"/>
      <c r="F538" s="155"/>
      <c r="I538" s="155"/>
    </row>
    <row r="539" ht="12.0" customHeight="1">
      <c r="A539" s="155"/>
      <c r="B539" s="155"/>
      <c r="C539" s="155"/>
      <c r="F539" s="155"/>
      <c r="I539" s="155"/>
    </row>
    <row r="540" ht="12.0" customHeight="1">
      <c r="A540" s="155"/>
      <c r="B540" s="155"/>
      <c r="C540" s="155"/>
      <c r="F540" s="155"/>
      <c r="I540" s="155"/>
    </row>
    <row r="541" ht="12.0" customHeight="1">
      <c r="A541" s="155"/>
      <c r="B541" s="155"/>
      <c r="C541" s="155"/>
      <c r="F541" s="155"/>
      <c r="I541" s="155"/>
    </row>
    <row r="542" ht="12.0" customHeight="1">
      <c r="A542" s="155"/>
      <c r="B542" s="155"/>
      <c r="C542" s="155"/>
      <c r="F542" s="155"/>
      <c r="I542" s="155"/>
    </row>
    <row r="543" ht="12.0" customHeight="1">
      <c r="A543" s="155"/>
      <c r="B543" s="155"/>
      <c r="C543" s="155"/>
      <c r="F543" s="155"/>
      <c r="I543" s="155"/>
    </row>
    <row r="544" ht="12.0" customHeight="1">
      <c r="A544" s="155"/>
      <c r="B544" s="155"/>
      <c r="C544" s="155"/>
      <c r="F544" s="155"/>
      <c r="I544" s="155"/>
    </row>
    <row r="545" ht="12.0" customHeight="1">
      <c r="A545" s="155"/>
      <c r="B545" s="155"/>
      <c r="C545" s="155"/>
      <c r="F545" s="155"/>
      <c r="I545" s="155"/>
    </row>
    <row r="546" ht="12.0" customHeight="1">
      <c r="A546" s="155"/>
      <c r="B546" s="155"/>
      <c r="C546" s="155"/>
      <c r="F546" s="155"/>
      <c r="I546" s="155"/>
    </row>
    <row r="547" ht="12.0" customHeight="1">
      <c r="A547" s="155"/>
      <c r="B547" s="155"/>
      <c r="C547" s="155"/>
      <c r="F547" s="155"/>
      <c r="I547" s="155"/>
    </row>
    <row r="548" ht="12.0" customHeight="1">
      <c r="A548" s="155"/>
      <c r="B548" s="155"/>
      <c r="C548" s="155"/>
      <c r="F548" s="155"/>
      <c r="I548" s="155"/>
    </row>
    <row r="549" ht="12.0" customHeight="1">
      <c r="A549" s="155"/>
      <c r="B549" s="155"/>
      <c r="C549" s="155"/>
      <c r="F549" s="155"/>
      <c r="I549" s="155"/>
    </row>
    <row r="550" ht="12.0" customHeight="1">
      <c r="A550" s="155"/>
      <c r="B550" s="155"/>
      <c r="C550" s="155"/>
      <c r="F550" s="155"/>
      <c r="I550" s="155"/>
    </row>
    <row r="551" ht="12.0" customHeight="1">
      <c r="A551" s="155"/>
      <c r="B551" s="155"/>
      <c r="C551" s="155"/>
      <c r="F551" s="155"/>
      <c r="I551" s="155"/>
    </row>
    <row r="552" ht="12.0" customHeight="1">
      <c r="A552" s="155"/>
      <c r="B552" s="155"/>
      <c r="C552" s="155"/>
      <c r="F552" s="155"/>
      <c r="I552" s="155"/>
    </row>
    <row r="553" ht="12.0" customHeight="1">
      <c r="A553" s="155"/>
      <c r="B553" s="155"/>
      <c r="C553" s="155"/>
      <c r="F553" s="155"/>
      <c r="I553" s="155"/>
    </row>
    <row r="554" ht="12.0" customHeight="1">
      <c r="A554" s="155"/>
      <c r="B554" s="155"/>
      <c r="C554" s="155"/>
      <c r="F554" s="155"/>
      <c r="I554" s="155"/>
    </row>
    <row r="555" ht="12.0" customHeight="1">
      <c r="A555" s="155"/>
      <c r="B555" s="155"/>
      <c r="C555" s="155"/>
      <c r="F555" s="155"/>
      <c r="I555" s="155"/>
    </row>
    <row r="556" ht="12.0" customHeight="1">
      <c r="A556" s="155"/>
      <c r="B556" s="155"/>
      <c r="C556" s="155"/>
      <c r="F556" s="155"/>
      <c r="I556" s="155"/>
    </row>
    <row r="557" ht="12.0" customHeight="1">
      <c r="A557" s="155"/>
      <c r="B557" s="155"/>
      <c r="C557" s="155"/>
      <c r="F557" s="155"/>
      <c r="I557" s="155"/>
    </row>
    <row r="558" ht="12.0" customHeight="1">
      <c r="A558" s="155"/>
      <c r="B558" s="155"/>
      <c r="C558" s="155"/>
      <c r="F558" s="155"/>
      <c r="I558" s="155"/>
    </row>
    <row r="559" ht="12.0" customHeight="1">
      <c r="A559" s="155"/>
      <c r="B559" s="155"/>
      <c r="C559" s="155"/>
      <c r="F559" s="155"/>
      <c r="I559" s="155"/>
    </row>
    <row r="560" ht="12.0" customHeight="1">
      <c r="A560" s="155"/>
      <c r="B560" s="155"/>
      <c r="C560" s="155"/>
      <c r="F560" s="155"/>
      <c r="I560" s="155"/>
    </row>
    <row r="561" ht="12.0" customHeight="1">
      <c r="A561" s="155"/>
      <c r="B561" s="155"/>
      <c r="C561" s="155"/>
      <c r="F561" s="155"/>
      <c r="I561" s="155"/>
    </row>
    <row r="562" ht="12.0" customHeight="1">
      <c r="A562" s="155"/>
      <c r="B562" s="155"/>
      <c r="C562" s="155"/>
      <c r="F562" s="155"/>
      <c r="I562" s="155"/>
    </row>
    <row r="563" ht="12.0" customHeight="1">
      <c r="A563" s="155"/>
      <c r="B563" s="155"/>
      <c r="C563" s="155"/>
      <c r="F563" s="155"/>
      <c r="I563" s="155"/>
    </row>
    <row r="564" ht="12.0" customHeight="1">
      <c r="A564" s="155"/>
      <c r="B564" s="155"/>
      <c r="C564" s="155"/>
      <c r="F564" s="155"/>
      <c r="I564" s="155"/>
    </row>
    <row r="565" ht="12.0" customHeight="1">
      <c r="A565" s="155"/>
      <c r="B565" s="155"/>
      <c r="C565" s="155"/>
      <c r="F565" s="155"/>
      <c r="I565" s="155"/>
    </row>
    <row r="566" ht="12.0" customHeight="1">
      <c r="A566" s="155"/>
      <c r="B566" s="155"/>
      <c r="C566" s="155"/>
      <c r="F566" s="155"/>
      <c r="I566" s="155"/>
    </row>
    <row r="567" ht="12.0" customHeight="1">
      <c r="A567" s="155"/>
      <c r="B567" s="155"/>
      <c r="C567" s="155"/>
      <c r="F567" s="155"/>
      <c r="I567" s="155"/>
    </row>
    <row r="568" ht="12.0" customHeight="1">
      <c r="A568" s="155"/>
      <c r="B568" s="155"/>
      <c r="C568" s="155"/>
      <c r="F568" s="155"/>
      <c r="I568" s="155"/>
    </row>
    <row r="569" ht="12.0" customHeight="1">
      <c r="A569" s="155"/>
      <c r="B569" s="155"/>
      <c r="C569" s="155"/>
      <c r="F569" s="155"/>
      <c r="I569" s="155"/>
    </row>
    <row r="570" ht="12.0" customHeight="1">
      <c r="A570" s="155"/>
      <c r="B570" s="155"/>
      <c r="C570" s="155"/>
      <c r="F570" s="155"/>
      <c r="I570" s="155"/>
    </row>
    <row r="571" ht="12.0" customHeight="1">
      <c r="A571" s="155"/>
      <c r="B571" s="155"/>
      <c r="C571" s="155"/>
      <c r="F571" s="155"/>
      <c r="I571" s="155"/>
    </row>
    <row r="572" ht="12.0" customHeight="1">
      <c r="A572" s="155"/>
      <c r="B572" s="155"/>
      <c r="C572" s="155"/>
      <c r="F572" s="155"/>
      <c r="I572" s="155"/>
    </row>
    <row r="573" ht="12.0" customHeight="1">
      <c r="A573" s="155"/>
      <c r="B573" s="155"/>
      <c r="C573" s="155"/>
      <c r="F573" s="155"/>
      <c r="I573" s="155"/>
    </row>
    <row r="574" ht="12.0" customHeight="1">
      <c r="A574" s="155"/>
      <c r="B574" s="155"/>
      <c r="C574" s="155"/>
      <c r="F574" s="155"/>
      <c r="I574" s="155"/>
    </row>
    <row r="575" ht="12.0" customHeight="1">
      <c r="A575" s="155"/>
      <c r="B575" s="155"/>
      <c r="C575" s="155"/>
      <c r="F575" s="155"/>
      <c r="I575" s="155"/>
    </row>
    <row r="576" ht="12.0" customHeight="1">
      <c r="A576" s="155"/>
      <c r="B576" s="155"/>
      <c r="C576" s="155"/>
      <c r="F576" s="155"/>
      <c r="I576" s="155"/>
    </row>
    <row r="577" ht="12.0" customHeight="1">
      <c r="A577" s="155"/>
      <c r="B577" s="155"/>
      <c r="C577" s="155"/>
      <c r="F577" s="155"/>
      <c r="I577" s="155"/>
    </row>
    <row r="578" ht="12.0" customHeight="1">
      <c r="A578" s="155"/>
      <c r="B578" s="155"/>
      <c r="C578" s="155"/>
      <c r="F578" s="155"/>
      <c r="I578" s="155"/>
    </row>
    <row r="579" ht="12.0" customHeight="1">
      <c r="A579" s="155"/>
      <c r="B579" s="155"/>
      <c r="C579" s="155"/>
      <c r="F579" s="155"/>
      <c r="I579" s="155"/>
    </row>
    <row r="580" ht="12.0" customHeight="1">
      <c r="A580" s="155"/>
      <c r="B580" s="155"/>
      <c r="C580" s="155"/>
      <c r="F580" s="155"/>
      <c r="I580" s="155"/>
    </row>
    <row r="581" ht="12.0" customHeight="1">
      <c r="A581" s="155"/>
      <c r="B581" s="155"/>
      <c r="C581" s="155"/>
      <c r="F581" s="155"/>
      <c r="I581" s="155"/>
    </row>
    <row r="582" ht="12.0" customHeight="1">
      <c r="A582" s="155"/>
      <c r="B582" s="155"/>
      <c r="C582" s="155"/>
      <c r="F582" s="155"/>
      <c r="I582" s="155"/>
    </row>
    <row r="583" ht="12.0" customHeight="1">
      <c r="A583" s="155"/>
      <c r="B583" s="155"/>
      <c r="C583" s="155"/>
      <c r="F583" s="155"/>
      <c r="I583" s="155"/>
    </row>
    <row r="584" ht="12.0" customHeight="1">
      <c r="A584" s="155"/>
      <c r="B584" s="155"/>
      <c r="C584" s="155"/>
      <c r="F584" s="155"/>
      <c r="I584" s="155"/>
    </row>
    <row r="585" ht="12.0" customHeight="1">
      <c r="A585" s="155"/>
      <c r="B585" s="155"/>
      <c r="C585" s="155"/>
      <c r="F585" s="155"/>
      <c r="I585" s="155"/>
    </row>
    <row r="586" ht="12.0" customHeight="1">
      <c r="A586" s="155"/>
      <c r="B586" s="155"/>
      <c r="C586" s="155"/>
      <c r="F586" s="155"/>
      <c r="I586" s="155"/>
    </row>
    <row r="587" ht="12.0" customHeight="1">
      <c r="A587" s="155"/>
      <c r="B587" s="155"/>
      <c r="C587" s="155"/>
      <c r="F587" s="155"/>
      <c r="I587" s="155"/>
    </row>
    <row r="588" ht="12.0" customHeight="1">
      <c r="A588" s="155"/>
      <c r="B588" s="155"/>
      <c r="C588" s="155"/>
      <c r="F588" s="155"/>
      <c r="I588" s="155"/>
    </row>
    <row r="589" ht="12.0" customHeight="1">
      <c r="A589" s="155"/>
      <c r="B589" s="155"/>
      <c r="C589" s="155"/>
      <c r="F589" s="155"/>
      <c r="I589" s="155"/>
    </row>
    <row r="590" ht="12.0" customHeight="1">
      <c r="A590" s="155"/>
      <c r="B590" s="155"/>
      <c r="C590" s="155"/>
      <c r="F590" s="155"/>
      <c r="I590" s="155"/>
    </row>
    <row r="591" ht="12.0" customHeight="1">
      <c r="A591" s="155"/>
      <c r="B591" s="155"/>
      <c r="C591" s="155"/>
      <c r="F591" s="155"/>
      <c r="I591" s="155"/>
    </row>
    <row r="592" ht="12.0" customHeight="1">
      <c r="A592" s="155"/>
      <c r="B592" s="155"/>
      <c r="C592" s="155"/>
      <c r="F592" s="155"/>
      <c r="I592" s="155"/>
    </row>
    <row r="593" ht="12.0" customHeight="1">
      <c r="A593" s="155"/>
      <c r="B593" s="155"/>
      <c r="C593" s="155"/>
      <c r="F593" s="155"/>
      <c r="I593" s="155"/>
    </row>
    <row r="594" ht="12.0" customHeight="1">
      <c r="A594" s="155"/>
      <c r="B594" s="155"/>
      <c r="C594" s="155"/>
      <c r="F594" s="155"/>
      <c r="I594" s="155"/>
    </row>
    <row r="595" ht="12.0" customHeight="1">
      <c r="A595" s="155"/>
      <c r="B595" s="155"/>
      <c r="C595" s="155"/>
      <c r="F595" s="155"/>
      <c r="I595" s="155"/>
    </row>
    <row r="596" ht="12.0" customHeight="1">
      <c r="A596" s="155"/>
      <c r="B596" s="155"/>
      <c r="C596" s="155"/>
      <c r="F596" s="155"/>
      <c r="I596" s="155"/>
    </row>
    <row r="597" ht="12.0" customHeight="1">
      <c r="A597" s="155"/>
      <c r="B597" s="155"/>
      <c r="C597" s="155"/>
      <c r="F597" s="155"/>
      <c r="I597" s="155"/>
    </row>
    <row r="598" ht="12.0" customHeight="1">
      <c r="A598" s="155"/>
      <c r="B598" s="155"/>
      <c r="C598" s="155"/>
      <c r="F598" s="155"/>
      <c r="I598" s="155"/>
    </row>
    <row r="599" ht="12.0" customHeight="1">
      <c r="A599" s="155"/>
      <c r="B599" s="155"/>
      <c r="C599" s="155"/>
      <c r="F599" s="155"/>
      <c r="I599" s="155"/>
    </row>
    <row r="600" ht="12.0" customHeight="1">
      <c r="A600" s="155"/>
      <c r="B600" s="155"/>
      <c r="C600" s="155"/>
      <c r="F600" s="155"/>
      <c r="I600" s="155"/>
    </row>
    <row r="601" ht="12.0" customHeight="1">
      <c r="A601" s="155"/>
      <c r="B601" s="155"/>
      <c r="C601" s="155"/>
      <c r="F601" s="155"/>
      <c r="I601" s="155"/>
    </row>
    <row r="602" ht="12.0" customHeight="1">
      <c r="A602" s="155"/>
      <c r="B602" s="155"/>
      <c r="C602" s="155"/>
      <c r="F602" s="155"/>
      <c r="I602" s="155"/>
    </row>
    <row r="603" ht="12.0" customHeight="1">
      <c r="A603" s="155"/>
      <c r="B603" s="155"/>
      <c r="C603" s="155"/>
      <c r="F603" s="155"/>
      <c r="I603" s="155"/>
    </row>
    <row r="604" ht="12.0" customHeight="1">
      <c r="A604" s="155"/>
      <c r="B604" s="155"/>
      <c r="C604" s="155"/>
      <c r="F604" s="155"/>
      <c r="I604" s="155"/>
    </row>
    <row r="605" ht="12.0" customHeight="1">
      <c r="A605" s="155"/>
      <c r="B605" s="155"/>
      <c r="C605" s="155"/>
      <c r="F605" s="155"/>
      <c r="I605" s="155"/>
    </row>
    <row r="606" ht="12.0" customHeight="1">
      <c r="A606" s="155"/>
      <c r="B606" s="155"/>
      <c r="C606" s="155"/>
      <c r="F606" s="155"/>
      <c r="I606" s="155"/>
    </row>
    <row r="607" ht="12.0" customHeight="1">
      <c r="A607" s="155"/>
      <c r="B607" s="155"/>
      <c r="C607" s="155"/>
      <c r="F607" s="155"/>
      <c r="I607" s="155"/>
    </row>
    <row r="608" ht="12.0" customHeight="1">
      <c r="A608" s="155"/>
      <c r="B608" s="155"/>
      <c r="C608" s="155"/>
      <c r="F608" s="155"/>
      <c r="I608" s="155"/>
    </row>
    <row r="609" ht="12.0" customHeight="1">
      <c r="A609" s="155"/>
      <c r="B609" s="155"/>
      <c r="C609" s="155"/>
      <c r="F609" s="155"/>
      <c r="I609" s="155"/>
    </row>
    <row r="610" ht="12.0" customHeight="1">
      <c r="A610" s="155"/>
      <c r="B610" s="155"/>
      <c r="C610" s="155"/>
      <c r="F610" s="155"/>
      <c r="I610" s="155"/>
    </row>
    <row r="611" ht="12.0" customHeight="1">
      <c r="A611" s="155"/>
      <c r="B611" s="155"/>
      <c r="C611" s="155"/>
      <c r="F611" s="155"/>
      <c r="I611" s="155"/>
    </row>
    <row r="612" ht="12.0" customHeight="1">
      <c r="A612" s="155"/>
      <c r="B612" s="155"/>
      <c r="C612" s="155"/>
      <c r="F612" s="155"/>
      <c r="I612" s="155"/>
    </row>
    <row r="613" ht="12.0" customHeight="1">
      <c r="A613" s="155"/>
      <c r="B613" s="155"/>
      <c r="C613" s="155"/>
      <c r="F613" s="155"/>
      <c r="I613" s="155"/>
    </row>
    <row r="614" ht="12.0" customHeight="1">
      <c r="A614" s="155"/>
      <c r="B614" s="155"/>
      <c r="C614" s="155"/>
      <c r="F614" s="155"/>
      <c r="I614" s="155"/>
    </row>
    <row r="615" ht="12.0" customHeight="1">
      <c r="A615" s="155"/>
      <c r="B615" s="155"/>
      <c r="C615" s="155"/>
      <c r="F615" s="155"/>
      <c r="I615" s="155"/>
    </row>
    <row r="616" ht="12.0" customHeight="1">
      <c r="A616" s="155"/>
      <c r="B616" s="155"/>
      <c r="C616" s="155"/>
      <c r="F616" s="155"/>
      <c r="I616" s="155"/>
    </row>
    <row r="617" ht="12.0" customHeight="1">
      <c r="A617" s="155"/>
      <c r="B617" s="155"/>
      <c r="C617" s="155"/>
      <c r="F617" s="155"/>
      <c r="I617" s="155"/>
    </row>
    <row r="618" ht="12.0" customHeight="1">
      <c r="A618" s="155"/>
      <c r="B618" s="155"/>
      <c r="C618" s="155"/>
      <c r="F618" s="155"/>
      <c r="I618" s="155"/>
    </row>
    <row r="619" ht="12.0" customHeight="1">
      <c r="A619" s="155"/>
      <c r="B619" s="155"/>
      <c r="C619" s="155"/>
      <c r="F619" s="155"/>
      <c r="I619" s="155"/>
    </row>
    <row r="620" ht="12.0" customHeight="1">
      <c r="A620" s="155"/>
      <c r="B620" s="155"/>
      <c r="C620" s="155"/>
      <c r="F620" s="155"/>
      <c r="I620" s="155"/>
    </row>
    <row r="621" ht="12.0" customHeight="1">
      <c r="A621" s="155"/>
      <c r="B621" s="155"/>
      <c r="C621" s="155"/>
      <c r="F621" s="155"/>
      <c r="I621" s="155"/>
    </row>
    <row r="622" ht="12.0" customHeight="1">
      <c r="A622" s="155"/>
      <c r="B622" s="155"/>
      <c r="C622" s="155"/>
      <c r="F622" s="155"/>
      <c r="I622" s="155"/>
    </row>
    <row r="623" ht="12.0" customHeight="1">
      <c r="A623" s="155"/>
      <c r="B623" s="155"/>
      <c r="C623" s="155"/>
      <c r="F623" s="155"/>
      <c r="I623" s="155"/>
    </row>
    <row r="624" ht="12.0" customHeight="1">
      <c r="A624" s="155"/>
      <c r="B624" s="155"/>
      <c r="C624" s="155"/>
      <c r="F624" s="155"/>
      <c r="I624" s="155"/>
    </row>
    <row r="625" ht="12.0" customHeight="1">
      <c r="A625" s="155"/>
      <c r="B625" s="155"/>
      <c r="C625" s="155"/>
      <c r="F625" s="155"/>
      <c r="I625" s="155"/>
    </row>
    <row r="626" ht="12.0" customHeight="1">
      <c r="A626" s="155"/>
      <c r="B626" s="155"/>
      <c r="C626" s="155"/>
      <c r="F626" s="155"/>
      <c r="I626" s="155"/>
    </row>
    <row r="627" ht="12.0" customHeight="1">
      <c r="A627" s="155"/>
      <c r="B627" s="155"/>
      <c r="C627" s="155"/>
      <c r="F627" s="155"/>
      <c r="I627" s="155"/>
    </row>
    <row r="628" ht="12.0" customHeight="1">
      <c r="A628" s="155"/>
      <c r="B628" s="155"/>
      <c r="C628" s="155"/>
      <c r="F628" s="155"/>
      <c r="I628" s="155"/>
    </row>
    <row r="629" ht="12.0" customHeight="1">
      <c r="A629" s="155"/>
      <c r="B629" s="155"/>
      <c r="C629" s="155"/>
      <c r="F629" s="155"/>
      <c r="I629" s="155"/>
    </row>
    <row r="630" ht="12.0" customHeight="1">
      <c r="A630" s="155"/>
      <c r="B630" s="155"/>
      <c r="C630" s="155"/>
      <c r="F630" s="155"/>
      <c r="I630" s="155"/>
    </row>
    <row r="631" ht="12.0" customHeight="1">
      <c r="A631" s="155"/>
      <c r="B631" s="155"/>
      <c r="C631" s="155"/>
      <c r="F631" s="155"/>
      <c r="I631" s="155"/>
    </row>
    <row r="632" ht="12.0" customHeight="1">
      <c r="A632" s="155"/>
      <c r="B632" s="155"/>
      <c r="C632" s="155"/>
      <c r="F632" s="155"/>
      <c r="I632" s="155"/>
    </row>
    <row r="633" ht="12.0" customHeight="1">
      <c r="A633" s="155"/>
      <c r="B633" s="155"/>
      <c r="C633" s="155"/>
      <c r="F633" s="155"/>
      <c r="I633" s="155"/>
    </row>
    <row r="634" ht="12.0" customHeight="1">
      <c r="A634" s="155"/>
      <c r="B634" s="155"/>
      <c r="C634" s="155"/>
      <c r="F634" s="155"/>
      <c r="I634" s="155"/>
    </row>
    <row r="635" ht="12.0" customHeight="1">
      <c r="A635" s="155"/>
      <c r="B635" s="155"/>
      <c r="C635" s="155"/>
      <c r="F635" s="155"/>
      <c r="I635" s="155"/>
    </row>
    <row r="636" ht="12.0" customHeight="1">
      <c r="A636" s="155"/>
      <c r="B636" s="155"/>
      <c r="C636" s="155"/>
      <c r="F636" s="155"/>
      <c r="I636" s="155"/>
    </row>
    <row r="637" ht="12.0" customHeight="1">
      <c r="A637" s="155"/>
      <c r="B637" s="155"/>
      <c r="C637" s="155"/>
      <c r="F637" s="155"/>
      <c r="I637" s="155"/>
    </row>
    <row r="638" ht="12.0" customHeight="1">
      <c r="A638" s="155"/>
      <c r="B638" s="155"/>
      <c r="C638" s="155"/>
      <c r="F638" s="155"/>
      <c r="I638" s="155"/>
    </row>
    <row r="639" ht="12.0" customHeight="1">
      <c r="A639" s="155"/>
      <c r="B639" s="155"/>
      <c r="C639" s="155"/>
      <c r="F639" s="155"/>
      <c r="I639" s="155"/>
    </row>
    <row r="640" ht="12.0" customHeight="1">
      <c r="A640" s="155"/>
      <c r="B640" s="155"/>
      <c r="C640" s="155"/>
      <c r="F640" s="155"/>
      <c r="I640" s="155"/>
    </row>
    <row r="641" ht="12.0" customHeight="1">
      <c r="A641" s="155"/>
      <c r="B641" s="155"/>
      <c r="C641" s="155"/>
      <c r="F641" s="155"/>
      <c r="I641" s="155"/>
    </row>
    <row r="642" ht="12.0" customHeight="1">
      <c r="A642" s="155"/>
      <c r="B642" s="155"/>
      <c r="C642" s="155"/>
      <c r="F642" s="155"/>
      <c r="I642" s="155"/>
    </row>
    <row r="643" ht="12.0" customHeight="1">
      <c r="A643" s="155"/>
      <c r="B643" s="155"/>
      <c r="C643" s="155"/>
      <c r="F643" s="155"/>
      <c r="I643" s="155"/>
    </row>
    <row r="644" ht="12.0" customHeight="1">
      <c r="A644" s="155"/>
      <c r="B644" s="155"/>
      <c r="C644" s="155"/>
      <c r="F644" s="155"/>
      <c r="I644" s="155"/>
    </row>
    <row r="645" ht="12.0" customHeight="1">
      <c r="A645" s="155"/>
      <c r="B645" s="155"/>
      <c r="C645" s="155"/>
      <c r="F645" s="155"/>
      <c r="I645" s="155"/>
    </row>
    <row r="646" ht="12.0" customHeight="1">
      <c r="A646" s="155"/>
      <c r="B646" s="155"/>
      <c r="C646" s="155"/>
      <c r="F646" s="155"/>
      <c r="I646" s="155"/>
    </row>
    <row r="647" ht="12.0" customHeight="1">
      <c r="A647" s="155"/>
      <c r="B647" s="155"/>
      <c r="C647" s="155"/>
      <c r="F647" s="155"/>
      <c r="I647" s="155"/>
    </row>
    <row r="648" ht="12.0" customHeight="1">
      <c r="A648" s="155"/>
      <c r="B648" s="155"/>
      <c r="C648" s="155"/>
      <c r="F648" s="155"/>
      <c r="I648" s="155"/>
    </row>
    <row r="649" ht="12.0" customHeight="1">
      <c r="A649" s="155"/>
      <c r="B649" s="155"/>
      <c r="C649" s="155"/>
      <c r="F649" s="155"/>
      <c r="I649" s="155"/>
    </row>
    <row r="650" ht="12.0" customHeight="1">
      <c r="A650" s="155"/>
      <c r="B650" s="155"/>
      <c r="C650" s="155"/>
      <c r="F650" s="155"/>
      <c r="I650" s="155"/>
    </row>
    <row r="651" ht="12.0" customHeight="1">
      <c r="A651" s="155"/>
      <c r="B651" s="155"/>
      <c r="C651" s="155"/>
      <c r="F651" s="155"/>
      <c r="I651" s="155"/>
    </row>
    <row r="652" ht="12.0" customHeight="1">
      <c r="A652" s="155"/>
      <c r="B652" s="155"/>
      <c r="C652" s="155"/>
      <c r="F652" s="155"/>
      <c r="I652" s="155"/>
    </row>
    <row r="653" ht="12.0" customHeight="1">
      <c r="A653" s="155"/>
      <c r="B653" s="155"/>
      <c r="C653" s="155"/>
      <c r="F653" s="155"/>
      <c r="I653" s="155"/>
    </row>
    <row r="654" ht="12.0" customHeight="1">
      <c r="A654" s="155"/>
      <c r="B654" s="155"/>
      <c r="C654" s="155"/>
      <c r="F654" s="155"/>
      <c r="I654" s="155"/>
    </row>
    <row r="655" ht="12.0" customHeight="1">
      <c r="A655" s="155"/>
      <c r="B655" s="155"/>
      <c r="C655" s="155"/>
      <c r="F655" s="155"/>
      <c r="I655" s="155"/>
    </row>
    <row r="656" ht="12.0" customHeight="1">
      <c r="A656" s="155"/>
      <c r="B656" s="155"/>
      <c r="C656" s="155"/>
      <c r="F656" s="155"/>
      <c r="I656" s="155"/>
    </row>
    <row r="657" ht="12.0" customHeight="1">
      <c r="A657" s="155"/>
      <c r="B657" s="155"/>
      <c r="C657" s="155"/>
      <c r="F657" s="155"/>
      <c r="I657" s="155"/>
    </row>
    <row r="658" ht="12.0" customHeight="1">
      <c r="A658" s="155"/>
      <c r="B658" s="155"/>
      <c r="C658" s="155"/>
      <c r="F658" s="155"/>
      <c r="I658" s="155"/>
    </row>
    <row r="659" ht="12.0" customHeight="1">
      <c r="A659" s="155"/>
      <c r="B659" s="155"/>
      <c r="C659" s="155"/>
      <c r="F659" s="155"/>
      <c r="I659" s="155"/>
    </row>
    <row r="660" ht="12.0" customHeight="1">
      <c r="A660" s="155"/>
      <c r="B660" s="155"/>
      <c r="C660" s="155"/>
      <c r="F660" s="155"/>
      <c r="I660" s="155"/>
    </row>
    <row r="661" ht="12.0" customHeight="1">
      <c r="A661" s="155"/>
      <c r="B661" s="155"/>
      <c r="C661" s="155"/>
      <c r="F661" s="155"/>
      <c r="I661" s="155"/>
    </row>
    <row r="662" ht="12.0" customHeight="1">
      <c r="A662" s="155"/>
      <c r="B662" s="155"/>
      <c r="C662" s="155"/>
      <c r="F662" s="155"/>
      <c r="I662" s="155"/>
    </row>
    <row r="663" ht="12.0" customHeight="1">
      <c r="A663" s="155"/>
      <c r="B663" s="155"/>
      <c r="C663" s="155"/>
      <c r="F663" s="155"/>
      <c r="I663" s="155"/>
    </row>
    <row r="664" ht="12.0" customHeight="1">
      <c r="A664" s="155"/>
      <c r="B664" s="155"/>
      <c r="C664" s="155"/>
      <c r="F664" s="155"/>
      <c r="I664" s="155"/>
    </row>
    <row r="665" ht="12.0" customHeight="1">
      <c r="A665" s="155"/>
      <c r="B665" s="155"/>
      <c r="C665" s="155"/>
      <c r="F665" s="155"/>
      <c r="I665" s="155"/>
    </row>
    <row r="666" ht="12.0" customHeight="1">
      <c r="A666" s="155"/>
      <c r="B666" s="155"/>
      <c r="C666" s="155"/>
      <c r="F666" s="155"/>
      <c r="I666" s="155"/>
    </row>
    <row r="667" ht="12.0" customHeight="1">
      <c r="A667" s="155"/>
      <c r="B667" s="155"/>
      <c r="C667" s="155"/>
      <c r="F667" s="155"/>
      <c r="I667" s="155"/>
    </row>
    <row r="668" ht="12.0" customHeight="1">
      <c r="A668" s="155"/>
      <c r="B668" s="155"/>
      <c r="C668" s="155"/>
      <c r="F668" s="155"/>
      <c r="I668" s="155"/>
    </row>
    <row r="669" ht="12.0" customHeight="1">
      <c r="A669" s="155"/>
      <c r="B669" s="155"/>
      <c r="C669" s="155"/>
      <c r="F669" s="155"/>
      <c r="I669" s="155"/>
    </row>
    <row r="670" ht="12.0" customHeight="1">
      <c r="A670" s="155"/>
      <c r="B670" s="155"/>
      <c r="C670" s="155"/>
      <c r="F670" s="155"/>
      <c r="I670" s="155"/>
    </row>
    <row r="671" ht="12.0" customHeight="1">
      <c r="A671" s="155"/>
      <c r="B671" s="155"/>
      <c r="C671" s="155"/>
      <c r="F671" s="155"/>
      <c r="I671" s="155"/>
    </row>
    <row r="672" ht="12.0" customHeight="1">
      <c r="A672" s="155"/>
      <c r="B672" s="155"/>
      <c r="C672" s="155"/>
      <c r="F672" s="155"/>
      <c r="I672" s="155"/>
    </row>
    <row r="673" ht="12.0" customHeight="1">
      <c r="A673" s="155"/>
      <c r="B673" s="155"/>
      <c r="C673" s="155"/>
      <c r="F673" s="155"/>
      <c r="I673" s="155"/>
    </row>
    <row r="674" ht="12.0" customHeight="1">
      <c r="A674" s="155"/>
      <c r="B674" s="155"/>
      <c r="C674" s="155"/>
      <c r="F674" s="155"/>
      <c r="I674" s="155"/>
    </row>
    <row r="675" ht="12.0" customHeight="1">
      <c r="A675" s="155"/>
      <c r="B675" s="155"/>
      <c r="C675" s="155"/>
      <c r="F675" s="155"/>
      <c r="I675" s="155"/>
    </row>
    <row r="676" ht="12.0" customHeight="1">
      <c r="A676" s="155"/>
      <c r="B676" s="155"/>
      <c r="C676" s="155"/>
      <c r="F676" s="155"/>
      <c r="I676" s="155"/>
    </row>
    <row r="677" ht="12.0" customHeight="1">
      <c r="A677" s="155"/>
      <c r="B677" s="155"/>
      <c r="C677" s="155"/>
      <c r="F677" s="155"/>
      <c r="I677" s="155"/>
    </row>
    <row r="678" ht="12.0" customHeight="1">
      <c r="A678" s="155"/>
      <c r="B678" s="155"/>
      <c r="C678" s="155"/>
      <c r="F678" s="155"/>
      <c r="I678" s="155"/>
    </row>
    <row r="679" ht="12.0" customHeight="1">
      <c r="A679" s="155"/>
      <c r="B679" s="155"/>
      <c r="C679" s="155"/>
      <c r="F679" s="155"/>
      <c r="I679" s="155"/>
    </row>
    <row r="680" ht="12.0" customHeight="1">
      <c r="A680" s="155"/>
      <c r="B680" s="155"/>
      <c r="C680" s="155"/>
      <c r="F680" s="155"/>
      <c r="I680" s="155"/>
    </row>
    <row r="681" ht="12.0" customHeight="1">
      <c r="A681" s="155"/>
      <c r="B681" s="155"/>
      <c r="C681" s="155"/>
      <c r="F681" s="155"/>
      <c r="I681" s="155"/>
    </row>
    <row r="682" ht="12.0" customHeight="1">
      <c r="A682" s="155"/>
      <c r="B682" s="155"/>
      <c r="C682" s="155"/>
      <c r="F682" s="155"/>
      <c r="I682" s="155"/>
    </row>
    <row r="683" ht="12.0" customHeight="1">
      <c r="A683" s="155"/>
      <c r="B683" s="155"/>
      <c r="C683" s="155"/>
      <c r="F683" s="155"/>
      <c r="I683" s="155"/>
    </row>
    <row r="684" ht="12.0" customHeight="1">
      <c r="A684" s="155"/>
      <c r="B684" s="155"/>
      <c r="C684" s="155"/>
      <c r="F684" s="155"/>
      <c r="I684" s="155"/>
    </row>
    <row r="685" ht="12.0" customHeight="1">
      <c r="A685" s="155"/>
      <c r="B685" s="155"/>
      <c r="C685" s="155"/>
      <c r="F685" s="155"/>
      <c r="I685" s="155"/>
    </row>
    <row r="686" ht="12.0" customHeight="1">
      <c r="A686" s="155"/>
      <c r="B686" s="155"/>
      <c r="C686" s="155"/>
      <c r="F686" s="155"/>
      <c r="I686" s="155"/>
    </row>
    <row r="687" ht="12.0" customHeight="1">
      <c r="A687" s="155"/>
      <c r="B687" s="155"/>
      <c r="C687" s="155"/>
      <c r="F687" s="155"/>
      <c r="I687" s="155"/>
    </row>
    <row r="688" ht="12.0" customHeight="1">
      <c r="A688" s="155"/>
      <c r="B688" s="155"/>
      <c r="C688" s="155"/>
      <c r="F688" s="155"/>
      <c r="I688" s="155"/>
    </row>
    <row r="689" ht="12.0" customHeight="1">
      <c r="A689" s="155"/>
      <c r="B689" s="155"/>
      <c r="C689" s="155"/>
      <c r="F689" s="155"/>
      <c r="I689" s="155"/>
    </row>
    <row r="690" ht="12.0" customHeight="1">
      <c r="A690" s="155"/>
      <c r="B690" s="155"/>
      <c r="C690" s="155"/>
      <c r="F690" s="155"/>
      <c r="I690" s="155"/>
    </row>
    <row r="691" ht="12.0" customHeight="1">
      <c r="A691" s="155"/>
      <c r="B691" s="155"/>
      <c r="C691" s="155"/>
      <c r="F691" s="155"/>
      <c r="I691" s="155"/>
    </row>
    <row r="692" ht="12.0" customHeight="1">
      <c r="A692" s="155"/>
      <c r="B692" s="155"/>
      <c r="C692" s="155"/>
      <c r="F692" s="155"/>
      <c r="I692" s="155"/>
    </row>
    <row r="693" ht="12.0" customHeight="1">
      <c r="A693" s="155"/>
      <c r="B693" s="155"/>
      <c r="C693" s="155"/>
      <c r="F693" s="155"/>
      <c r="I693" s="155"/>
    </row>
    <row r="694" ht="12.0" customHeight="1">
      <c r="A694" s="155"/>
      <c r="B694" s="155"/>
      <c r="C694" s="155"/>
      <c r="F694" s="155"/>
      <c r="I694" s="155"/>
    </row>
    <row r="695" ht="12.0" customHeight="1">
      <c r="A695" s="155"/>
      <c r="B695" s="155"/>
      <c r="C695" s="155"/>
      <c r="F695" s="155"/>
      <c r="I695" s="155"/>
    </row>
    <row r="696" ht="12.0" customHeight="1">
      <c r="A696" s="155"/>
      <c r="B696" s="155"/>
      <c r="C696" s="155"/>
      <c r="F696" s="155"/>
      <c r="I696" s="155"/>
    </row>
    <row r="697" ht="12.0" customHeight="1">
      <c r="A697" s="155"/>
      <c r="B697" s="155"/>
      <c r="C697" s="155"/>
      <c r="F697" s="155"/>
      <c r="I697" s="155"/>
    </row>
    <row r="698" ht="12.0" customHeight="1">
      <c r="A698" s="155"/>
      <c r="B698" s="155"/>
      <c r="C698" s="155"/>
      <c r="F698" s="155"/>
      <c r="I698" s="155"/>
    </row>
    <row r="699" ht="12.0" customHeight="1">
      <c r="A699" s="155"/>
      <c r="B699" s="155"/>
      <c r="C699" s="155"/>
      <c r="F699" s="155"/>
      <c r="I699" s="155"/>
    </row>
    <row r="700" ht="12.0" customHeight="1">
      <c r="A700" s="155"/>
      <c r="B700" s="155"/>
      <c r="C700" s="155"/>
      <c r="F700" s="155"/>
      <c r="I700" s="155"/>
    </row>
    <row r="701" ht="12.0" customHeight="1">
      <c r="A701" s="155"/>
      <c r="B701" s="155"/>
      <c r="C701" s="155"/>
      <c r="F701" s="155"/>
      <c r="I701" s="155"/>
    </row>
    <row r="702" ht="12.0" customHeight="1">
      <c r="A702" s="155"/>
      <c r="B702" s="155"/>
      <c r="C702" s="155"/>
      <c r="F702" s="155"/>
      <c r="I702" s="155"/>
    </row>
    <row r="703" ht="12.0" customHeight="1">
      <c r="A703" s="155"/>
      <c r="B703" s="155"/>
      <c r="C703" s="155"/>
      <c r="F703" s="155"/>
      <c r="I703" s="155"/>
    </row>
    <row r="704" ht="12.0" customHeight="1">
      <c r="A704" s="155"/>
      <c r="B704" s="155"/>
      <c r="C704" s="155"/>
      <c r="F704" s="155"/>
      <c r="I704" s="155"/>
    </row>
    <row r="705" ht="12.0" customHeight="1">
      <c r="A705" s="155"/>
      <c r="B705" s="155"/>
      <c r="C705" s="155"/>
      <c r="F705" s="155"/>
      <c r="I705" s="155"/>
    </row>
    <row r="706" ht="12.0" customHeight="1">
      <c r="A706" s="155"/>
      <c r="B706" s="155"/>
      <c r="C706" s="155"/>
      <c r="F706" s="155"/>
      <c r="I706" s="155"/>
    </row>
    <row r="707" ht="12.0" customHeight="1">
      <c r="A707" s="155"/>
      <c r="B707" s="155"/>
      <c r="C707" s="155"/>
      <c r="F707" s="155"/>
      <c r="I707" s="155"/>
    </row>
    <row r="708" ht="12.0" customHeight="1">
      <c r="A708" s="155"/>
      <c r="B708" s="155"/>
      <c r="C708" s="155"/>
      <c r="F708" s="155"/>
      <c r="I708" s="155"/>
    </row>
    <row r="709" ht="12.0" customHeight="1">
      <c r="A709" s="155"/>
      <c r="B709" s="155"/>
      <c r="C709" s="155"/>
      <c r="F709" s="155"/>
      <c r="I709" s="155"/>
    </row>
    <row r="710" ht="12.0" customHeight="1">
      <c r="A710" s="155"/>
      <c r="B710" s="155"/>
      <c r="C710" s="155"/>
      <c r="F710" s="155"/>
      <c r="I710" s="155"/>
    </row>
    <row r="711" ht="12.0" customHeight="1">
      <c r="A711" s="155"/>
      <c r="B711" s="155"/>
      <c r="C711" s="155"/>
      <c r="F711" s="155"/>
      <c r="I711" s="155"/>
    </row>
    <row r="712" ht="12.0" customHeight="1">
      <c r="A712" s="155"/>
      <c r="B712" s="155"/>
      <c r="C712" s="155"/>
      <c r="F712" s="155"/>
      <c r="I712" s="155"/>
    </row>
    <row r="713" ht="12.0" customHeight="1">
      <c r="A713" s="155"/>
      <c r="B713" s="155"/>
      <c r="C713" s="155"/>
      <c r="F713" s="155"/>
      <c r="I713" s="155"/>
    </row>
    <row r="714" ht="12.0" customHeight="1">
      <c r="A714" s="155"/>
      <c r="B714" s="155"/>
      <c r="C714" s="155"/>
      <c r="F714" s="155"/>
      <c r="I714" s="155"/>
    </row>
    <row r="715" ht="12.0" customHeight="1">
      <c r="A715" s="155"/>
      <c r="B715" s="155"/>
      <c r="C715" s="155"/>
      <c r="F715" s="155"/>
      <c r="I715" s="155"/>
    </row>
    <row r="716" ht="12.0" customHeight="1">
      <c r="A716" s="155"/>
      <c r="B716" s="155"/>
      <c r="C716" s="155"/>
      <c r="F716" s="155"/>
      <c r="I716" s="155"/>
    </row>
    <row r="717" ht="12.0" customHeight="1">
      <c r="A717" s="155"/>
      <c r="B717" s="155"/>
      <c r="C717" s="155"/>
      <c r="F717" s="155"/>
      <c r="I717" s="155"/>
    </row>
    <row r="718" ht="12.0" customHeight="1">
      <c r="A718" s="155"/>
      <c r="B718" s="155"/>
      <c r="C718" s="155"/>
      <c r="F718" s="155"/>
      <c r="I718" s="155"/>
    </row>
    <row r="719" ht="12.0" customHeight="1">
      <c r="A719" s="155"/>
      <c r="B719" s="155"/>
      <c r="C719" s="155"/>
      <c r="F719" s="155"/>
      <c r="I719" s="155"/>
    </row>
    <row r="720" ht="12.0" customHeight="1">
      <c r="A720" s="155"/>
      <c r="B720" s="155"/>
      <c r="C720" s="155"/>
      <c r="F720" s="155"/>
      <c r="I720" s="155"/>
    </row>
    <row r="721" ht="12.0" customHeight="1">
      <c r="A721" s="155"/>
      <c r="B721" s="155"/>
      <c r="C721" s="155"/>
      <c r="F721" s="155"/>
      <c r="I721" s="155"/>
    </row>
    <row r="722" ht="12.0" customHeight="1">
      <c r="A722" s="155"/>
      <c r="B722" s="155"/>
      <c r="C722" s="155"/>
      <c r="F722" s="155"/>
      <c r="I722" s="155"/>
    </row>
    <row r="723" ht="12.0" customHeight="1">
      <c r="A723" s="155"/>
      <c r="B723" s="155"/>
      <c r="C723" s="155"/>
      <c r="F723" s="155"/>
      <c r="I723" s="155"/>
    </row>
    <row r="724" ht="12.0" customHeight="1">
      <c r="A724" s="155"/>
      <c r="B724" s="155"/>
      <c r="C724" s="155"/>
      <c r="F724" s="155"/>
      <c r="I724" s="155"/>
    </row>
    <row r="725" ht="12.0" customHeight="1">
      <c r="A725" s="155"/>
      <c r="B725" s="155"/>
      <c r="C725" s="155"/>
      <c r="F725" s="155"/>
      <c r="I725" s="155"/>
    </row>
    <row r="726" ht="12.0" customHeight="1">
      <c r="A726" s="155"/>
      <c r="B726" s="155"/>
      <c r="C726" s="155"/>
      <c r="F726" s="155"/>
      <c r="I726" s="155"/>
    </row>
    <row r="727" ht="12.0" customHeight="1">
      <c r="A727" s="155"/>
      <c r="B727" s="155"/>
      <c r="C727" s="155"/>
      <c r="F727" s="155"/>
      <c r="I727" s="155"/>
    </row>
    <row r="728" ht="12.0" customHeight="1">
      <c r="A728" s="155"/>
      <c r="B728" s="155"/>
      <c r="C728" s="155"/>
      <c r="F728" s="155"/>
      <c r="I728" s="155"/>
    </row>
    <row r="729" ht="12.0" customHeight="1">
      <c r="A729" s="155"/>
      <c r="B729" s="155"/>
      <c r="C729" s="155"/>
      <c r="F729" s="155"/>
      <c r="I729" s="155"/>
    </row>
    <row r="730" ht="12.0" customHeight="1">
      <c r="A730" s="155"/>
      <c r="B730" s="155"/>
      <c r="C730" s="155"/>
      <c r="F730" s="155"/>
      <c r="I730" s="155"/>
    </row>
    <row r="731" ht="12.0" customHeight="1">
      <c r="A731" s="155"/>
      <c r="B731" s="155"/>
      <c r="C731" s="155"/>
      <c r="F731" s="155"/>
      <c r="I731" s="155"/>
    </row>
    <row r="732" ht="12.0" customHeight="1">
      <c r="A732" s="155"/>
      <c r="B732" s="155"/>
      <c r="C732" s="155"/>
      <c r="F732" s="155"/>
      <c r="I732" s="155"/>
    </row>
    <row r="733" ht="12.0" customHeight="1">
      <c r="A733" s="155"/>
      <c r="B733" s="155"/>
      <c r="C733" s="155"/>
      <c r="F733" s="155"/>
      <c r="I733" s="155"/>
    </row>
    <row r="734" ht="12.0" customHeight="1">
      <c r="A734" s="155"/>
      <c r="B734" s="155"/>
      <c r="C734" s="155"/>
      <c r="F734" s="155"/>
      <c r="I734" s="155"/>
    </row>
    <row r="735" ht="12.0" customHeight="1">
      <c r="A735" s="155"/>
      <c r="B735" s="155"/>
      <c r="C735" s="155"/>
      <c r="F735" s="155"/>
      <c r="I735" s="155"/>
    </row>
    <row r="736" ht="12.0" customHeight="1">
      <c r="A736" s="155"/>
      <c r="B736" s="155"/>
      <c r="C736" s="155"/>
      <c r="F736" s="155"/>
      <c r="I736" s="155"/>
    </row>
    <row r="737" ht="12.0" customHeight="1">
      <c r="A737" s="155"/>
      <c r="B737" s="155"/>
      <c r="C737" s="155"/>
      <c r="F737" s="155"/>
      <c r="I737" s="155"/>
    </row>
    <row r="738" ht="12.0" customHeight="1">
      <c r="A738" s="155"/>
      <c r="B738" s="155"/>
      <c r="C738" s="155"/>
      <c r="F738" s="155"/>
      <c r="I738" s="155"/>
    </row>
    <row r="739" ht="12.0" customHeight="1">
      <c r="A739" s="155"/>
      <c r="B739" s="155"/>
      <c r="C739" s="155"/>
      <c r="F739" s="155"/>
      <c r="I739" s="155"/>
    </row>
    <row r="740" ht="12.0" customHeight="1">
      <c r="A740" s="155"/>
      <c r="B740" s="155"/>
      <c r="C740" s="155"/>
      <c r="F740" s="155"/>
      <c r="I740" s="155"/>
    </row>
    <row r="741" ht="12.0" customHeight="1">
      <c r="A741" s="155"/>
      <c r="B741" s="155"/>
      <c r="C741" s="155"/>
      <c r="F741" s="155"/>
      <c r="I741" s="155"/>
    </row>
    <row r="742" ht="12.0" customHeight="1">
      <c r="A742" s="155"/>
      <c r="B742" s="155"/>
      <c r="C742" s="155"/>
      <c r="F742" s="155"/>
      <c r="I742" s="155"/>
    </row>
    <row r="743" ht="12.0" customHeight="1">
      <c r="A743" s="155"/>
      <c r="B743" s="155"/>
      <c r="C743" s="155"/>
      <c r="F743" s="155"/>
      <c r="I743" s="155"/>
    </row>
    <row r="744" ht="12.0" customHeight="1">
      <c r="A744" s="155"/>
      <c r="B744" s="155"/>
      <c r="C744" s="155"/>
      <c r="F744" s="155"/>
      <c r="I744" s="155"/>
    </row>
    <row r="745" ht="12.0" customHeight="1">
      <c r="A745" s="155"/>
      <c r="B745" s="155"/>
      <c r="C745" s="155"/>
      <c r="F745" s="155"/>
      <c r="I745" s="155"/>
    </row>
    <row r="746" ht="12.0" customHeight="1">
      <c r="A746" s="155"/>
      <c r="B746" s="155"/>
      <c r="C746" s="155"/>
      <c r="F746" s="155"/>
      <c r="I746" s="155"/>
    </row>
    <row r="747" ht="12.0" customHeight="1">
      <c r="A747" s="155"/>
      <c r="B747" s="155"/>
      <c r="C747" s="155"/>
      <c r="F747" s="155"/>
      <c r="I747" s="155"/>
    </row>
    <row r="748" ht="12.0" customHeight="1">
      <c r="A748" s="155"/>
      <c r="B748" s="155"/>
      <c r="C748" s="155"/>
      <c r="F748" s="155"/>
      <c r="I748" s="155"/>
    </row>
    <row r="749" ht="12.0" customHeight="1">
      <c r="A749" s="155"/>
      <c r="B749" s="155"/>
      <c r="C749" s="155"/>
      <c r="F749" s="155"/>
      <c r="I749" s="155"/>
    </row>
    <row r="750" ht="12.0" customHeight="1">
      <c r="A750" s="155"/>
      <c r="B750" s="155"/>
      <c r="C750" s="155"/>
      <c r="F750" s="155"/>
      <c r="I750" s="155"/>
    </row>
    <row r="751" ht="12.0" customHeight="1">
      <c r="A751" s="155"/>
      <c r="B751" s="155"/>
      <c r="C751" s="155"/>
      <c r="F751" s="155"/>
      <c r="I751" s="155"/>
    </row>
    <row r="752" ht="12.0" customHeight="1">
      <c r="A752" s="155"/>
      <c r="B752" s="155"/>
      <c r="C752" s="155"/>
      <c r="F752" s="155"/>
      <c r="I752" s="155"/>
    </row>
    <row r="753" ht="12.0" customHeight="1">
      <c r="A753" s="155"/>
      <c r="B753" s="155"/>
      <c r="C753" s="155"/>
      <c r="F753" s="155"/>
      <c r="I753" s="155"/>
    </row>
    <row r="754" ht="12.0" customHeight="1">
      <c r="A754" s="155"/>
      <c r="B754" s="155"/>
      <c r="C754" s="155"/>
      <c r="F754" s="155"/>
      <c r="I754" s="155"/>
    </row>
    <row r="755" ht="12.0" customHeight="1">
      <c r="A755" s="155"/>
      <c r="B755" s="155"/>
      <c r="C755" s="155"/>
      <c r="F755" s="155"/>
      <c r="I755" s="155"/>
    </row>
    <row r="756" ht="12.0" customHeight="1">
      <c r="A756" s="155"/>
      <c r="B756" s="155"/>
      <c r="C756" s="155"/>
      <c r="F756" s="155"/>
      <c r="I756" s="155"/>
    </row>
    <row r="757" ht="12.0" customHeight="1">
      <c r="A757" s="155"/>
      <c r="B757" s="155"/>
      <c r="C757" s="155"/>
      <c r="F757" s="155"/>
      <c r="I757" s="155"/>
    </row>
    <row r="758" ht="12.0" customHeight="1">
      <c r="A758" s="155"/>
      <c r="B758" s="155"/>
      <c r="C758" s="155"/>
      <c r="F758" s="155"/>
      <c r="I758" s="155"/>
    </row>
    <row r="759" ht="12.0" customHeight="1">
      <c r="A759" s="155"/>
      <c r="B759" s="155"/>
      <c r="C759" s="155"/>
      <c r="F759" s="155"/>
      <c r="I759" s="155"/>
    </row>
    <row r="760" ht="12.0" customHeight="1">
      <c r="A760" s="155"/>
      <c r="B760" s="155"/>
      <c r="C760" s="155"/>
      <c r="F760" s="155"/>
      <c r="I760" s="155"/>
    </row>
    <row r="761" ht="12.0" customHeight="1">
      <c r="A761" s="155"/>
      <c r="B761" s="155"/>
      <c r="C761" s="155"/>
      <c r="F761" s="155"/>
      <c r="I761" s="155"/>
    </row>
    <row r="762" ht="12.0" customHeight="1">
      <c r="A762" s="155"/>
      <c r="B762" s="155"/>
      <c r="C762" s="155"/>
      <c r="F762" s="155"/>
      <c r="I762" s="155"/>
    </row>
    <row r="763" ht="12.0" customHeight="1">
      <c r="A763" s="155"/>
      <c r="B763" s="155"/>
      <c r="C763" s="155"/>
      <c r="F763" s="155"/>
      <c r="I763" s="155"/>
    </row>
    <row r="764" ht="12.0" customHeight="1">
      <c r="A764" s="155"/>
      <c r="B764" s="155"/>
      <c r="C764" s="155"/>
      <c r="F764" s="155"/>
      <c r="I764" s="155"/>
    </row>
    <row r="765" ht="12.0" customHeight="1">
      <c r="A765" s="155"/>
      <c r="B765" s="155"/>
      <c r="C765" s="155"/>
      <c r="F765" s="155"/>
      <c r="I765" s="155"/>
    </row>
    <row r="766" ht="12.0" customHeight="1">
      <c r="A766" s="155"/>
      <c r="B766" s="155"/>
      <c r="C766" s="155"/>
      <c r="F766" s="155"/>
      <c r="I766" s="155"/>
    </row>
    <row r="767" ht="12.0" customHeight="1">
      <c r="A767" s="155"/>
      <c r="B767" s="155"/>
      <c r="C767" s="155"/>
      <c r="F767" s="155"/>
      <c r="I767" s="155"/>
    </row>
    <row r="768" ht="12.0" customHeight="1">
      <c r="A768" s="155"/>
      <c r="B768" s="155"/>
      <c r="C768" s="155"/>
      <c r="F768" s="155"/>
      <c r="I768" s="155"/>
    </row>
    <row r="769" ht="12.0" customHeight="1">
      <c r="A769" s="155"/>
      <c r="B769" s="155"/>
      <c r="C769" s="155"/>
      <c r="F769" s="155"/>
      <c r="I769" s="155"/>
    </row>
    <row r="770" ht="12.0" customHeight="1">
      <c r="A770" s="155"/>
      <c r="B770" s="155"/>
      <c r="C770" s="155"/>
      <c r="F770" s="155"/>
      <c r="I770" s="155"/>
    </row>
    <row r="771" ht="12.0" customHeight="1">
      <c r="A771" s="155"/>
      <c r="B771" s="155"/>
      <c r="C771" s="155"/>
      <c r="F771" s="155"/>
      <c r="I771" s="155"/>
    </row>
    <row r="772" ht="12.0" customHeight="1">
      <c r="A772" s="155"/>
      <c r="B772" s="155"/>
      <c r="C772" s="155"/>
      <c r="F772" s="155"/>
      <c r="I772" s="155"/>
    </row>
    <row r="773" ht="12.0" customHeight="1">
      <c r="A773" s="155"/>
      <c r="B773" s="155"/>
      <c r="C773" s="155"/>
      <c r="F773" s="155"/>
      <c r="I773" s="155"/>
    </row>
    <row r="774" ht="12.0" customHeight="1">
      <c r="A774" s="155"/>
      <c r="B774" s="155"/>
      <c r="C774" s="155"/>
      <c r="F774" s="155"/>
      <c r="I774" s="155"/>
    </row>
    <row r="775" ht="12.0" customHeight="1">
      <c r="A775" s="155"/>
      <c r="B775" s="155"/>
      <c r="C775" s="155"/>
      <c r="F775" s="155"/>
      <c r="I775" s="155"/>
    </row>
    <row r="776" ht="12.0" customHeight="1">
      <c r="A776" s="155"/>
      <c r="B776" s="155"/>
      <c r="C776" s="155"/>
      <c r="F776" s="155"/>
      <c r="I776" s="155"/>
    </row>
    <row r="777" ht="12.0" customHeight="1">
      <c r="A777" s="155"/>
      <c r="B777" s="155"/>
      <c r="C777" s="155"/>
      <c r="F777" s="155"/>
      <c r="I777" s="155"/>
    </row>
    <row r="778" ht="12.0" customHeight="1">
      <c r="A778" s="155"/>
      <c r="B778" s="155"/>
      <c r="C778" s="155"/>
      <c r="F778" s="155"/>
      <c r="I778" s="155"/>
    </row>
    <row r="779" ht="12.0" customHeight="1">
      <c r="A779" s="155"/>
      <c r="B779" s="155"/>
      <c r="C779" s="155"/>
      <c r="F779" s="155"/>
      <c r="I779" s="155"/>
    </row>
    <row r="780" ht="12.0" customHeight="1">
      <c r="A780" s="155"/>
      <c r="B780" s="155"/>
      <c r="C780" s="155"/>
      <c r="F780" s="155"/>
      <c r="I780" s="155"/>
    </row>
    <row r="781" ht="12.0" customHeight="1">
      <c r="A781" s="155"/>
      <c r="B781" s="155"/>
      <c r="C781" s="155"/>
      <c r="F781" s="155"/>
      <c r="I781" s="155"/>
    </row>
    <row r="782" ht="12.0" customHeight="1">
      <c r="A782" s="155"/>
      <c r="B782" s="155"/>
      <c r="C782" s="155"/>
      <c r="F782" s="155"/>
      <c r="I782" s="155"/>
    </row>
    <row r="783" ht="12.0" customHeight="1">
      <c r="A783" s="155"/>
      <c r="B783" s="155"/>
      <c r="C783" s="155"/>
      <c r="F783" s="155"/>
      <c r="I783" s="155"/>
    </row>
    <row r="784" ht="12.0" customHeight="1">
      <c r="A784" s="155"/>
      <c r="B784" s="155"/>
      <c r="C784" s="155"/>
      <c r="F784" s="155"/>
      <c r="I784" s="155"/>
    </row>
    <row r="785" ht="12.0" customHeight="1">
      <c r="A785" s="155"/>
      <c r="B785" s="155"/>
      <c r="C785" s="155"/>
      <c r="F785" s="155"/>
      <c r="I785" s="155"/>
    </row>
    <row r="786" ht="12.0" customHeight="1">
      <c r="A786" s="155"/>
      <c r="B786" s="155"/>
      <c r="C786" s="155"/>
      <c r="F786" s="155"/>
      <c r="I786" s="155"/>
    </row>
    <row r="787" ht="12.0" customHeight="1">
      <c r="A787" s="155"/>
      <c r="B787" s="155"/>
      <c r="C787" s="155"/>
      <c r="F787" s="155"/>
      <c r="I787" s="155"/>
    </row>
    <row r="788" ht="12.0" customHeight="1">
      <c r="A788" s="155"/>
      <c r="B788" s="155"/>
      <c r="C788" s="155"/>
      <c r="F788" s="155"/>
      <c r="I788" s="155"/>
    </row>
    <row r="789" ht="12.0" customHeight="1">
      <c r="A789" s="155"/>
      <c r="B789" s="155"/>
      <c r="C789" s="155"/>
      <c r="F789" s="155"/>
      <c r="I789" s="155"/>
    </row>
    <row r="790" ht="12.0" customHeight="1">
      <c r="A790" s="155"/>
      <c r="B790" s="155"/>
      <c r="C790" s="155"/>
      <c r="F790" s="155"/>
      <c r="I790" s="155"/>
    </row>
    <row r="791" ht="12.0" customHeight="1">
      <c r="A791" s="155"/>
      <c r="B791" s="155"/>
      <c r="C791" s="155"/>
      <c r="F791" s="155"/>
      <c r="I791" s="155"/>
    </row>
    <row r="792" ht="12.0" customHeight="1">
      <c r="A792" s="155"/>
      <c r="B792" s="155"/>
      <c r="C792" s="155"/>
      <c r="F792" s="155"/>
      <c r="I792" s="155"/>
    </row>
    <row r="793" ht="12.0" customHeight="1">
      <c r="A793" s="155"/>
      <c r="B793" s="155"/>
      <c r="C793" s="155"/>
      <c r="F793" s="155"/>
      <c r="I793" s="155"/>
    </row>
    <row r="794" ht="12.0" customHeight="1">
      <c r="A794" s="155"/>
      <c r="B794" s="155"/>
      <c r="C794" s="155"/>
      <c r="F794" s="155"/>
      <c r="I794" s="155"/>
    </row>
    <row r="795" ht="12.0" customHeight="1">
      <c r="A795" s="155"/>
      <c r="B795" s="155"/>
      <c r="C795" s="155"/>
      <c r="F795" s="155"/>
      <c r="I795" s="155"/>
    </row>
    <row r="796" ht="12.0" customHeight="1">
      <c r="A796" s="155"/>
      <c r="B796" s="155"/>
      <c r="C796" s="155"/>
      <c r="F796" s="155"/>
      <c r="I796" s="155"/>
    </row>
    <row r="797" ht="12.0" customHeight="1">
      <c r="A797" s="155"/>
      <c r="B797" s="155"/>
      <c r="C797" s="155"/>
      <c r="F797" s="155"/>
      <c r="I797" s="155"/>
    </row>
    <row r="798" ht="12.0" customHeight="1">
      <c r="A798" s="155"/>
      <c r="B798" s="155"/>
      <c r="C798" s="155"/>
      <c r="F798" s="155"/>
      <c r="I798" s="155"/>
    </row>
    <row r="799" ht="12.0" customHeight="1">
      <c r="A799" s="155"/>
      <c r="B799" s="155"/>
      <c r="C799" s="155"/>
      <c r="F799" s="155"/>
      <c r="I799" s="155"/>
    </row>
    <row r="800" ht="12.0" customHeight="1">
      <c r="A800" s="155"/>
      <c r="B800" s="155"/>
      <c r="C800" s="155"/>
      <c r="F800" s="155"/>
      <c r="I800" s="155"/>
    </row>
    <row r="801" ht="12.0" customHeight="1">
      <c r="A801" s="155"/>
      <c r="B801" s="155"/>
      <c r="C801" s="155"/>
      <c r="F801" s="155"/>
      <c r="I801" s="155"/>
    </row>
    <row r="802" ht="12.0" customHeight="1">
      <c r="A802" s="155"/>
      <c r="B802" s="155"/>
      <c r="C802" s="155"/>
      <c r="F802" s="155"/>
      <c r="I802" s="155"/>
    </row>
    <row r="803" ht="12.0" customHeight="1">
      <c r="A803" s="155"/>
      <c r="B803" s="155"/>
      <c r="C803" s="155"/>
      <c r="F803" s="155"/>
      <c r="I803" s="155"/>
    </row>
    <row r="804" ht="12.0" customHeight="1">
      <c r="A804" s="155"/>
      <c r="B804" s="155"/>
      <c r="C804" s="155"/>
      <c r="F804" s="155"/>
      <c r="I804" s="155"/>
    </row>
    <row r="805" ht="12.0" customHeight="1">
      <c r="A805" s="155"/>
      <c r="B805" s="155"/>
      <c r="C805" s="155"/>
      <c r="F805" s="155"/>
      <c r="I805" s="155"/>
    </row>
    <row r="806" ht="12.0" customHeight="1">
      <c r="A806" s="155"/>
      <c r="B806" s="155"/>
      <c r="C806" s="155"/>
      <c r="F806" s="155"/>
      <c r="I806" s="155"/>
    </row>
    <row r="807" ht="12.0" customHeight="1">
      <c r="A807" s="155"/>
      <c r="B807" s="155"/>
      <c r="C807" s="155"/>
      <c r="F807" s="155"/>
      <c r="I807" s="155"/>
    </row>
    <row r="808" ht="12.0" customHeight="1">
      <c r="A808" s="155"/>
      <c r="B808" s="155"/>
      <c r="C808" s="155"/>
      <c r="F808" s="155"/>
      <c r="I808" s="155"/>
    </row>
    <row r="809" ht="12.0" customHeight="1">
      <c r="A809" s="155"/>
      <c r="B809" s="155"/>
      <c r="C809" s="155"/>
      <c r="F809" s="155"/>
      <c r="I809" s="155"/>
    </row>
    <row r="810" ht="12.0" customHeight="1">
      <c r="A810" s="155"/>
      <c r="B810" s="155"/>
      <c r="C810" s="155"/>
      <c r="F810" s="155"/>
      <c r="I810" s="155"/>
    </row>
    <row r="811" ht="12.0" customHeight="1">
      <c r="A811" s="155"/>
      <c r="B811" s="155"/>
      <c r="C811" s="155"/>
      <c r="F811" s="155"/>
      <c r="I811" s="155"/>
    </row>
    <row r="812" ht="12.0" customHeight="1">
      <c r="A812" s="155"/>
      <c r="B812" s="155"/>
      <c r="C812" s="155"/>
      <c r="F812" s="155"/>
      <c r="I812" s="155"/>
    </row>
    <row r="813" ht="12.0" customHeight="1">
      <c r="A813" s="155"/>
      <c r="B813" s="155"/>
      <c r="C813" s="155"/>
      <c r="F813" s="155"/>
      <c r="I813" s="155"/>
    </row>
    <row r="814" ht="12.0" customHeight="1">
      <c r="A814" s="155"/>
      <c r="B814" s="155"/>
      <c r="C814" s="155"/>
      <c r="F814" s="155"/>
      <c r="I814" s="155"/>
    </row>
    <row r="815" ht="12.0" customHeight="1">
      <c r="A815" s="155"/>
      <c r="B815" s="155"/>
      <c r="C815" s="155"/>
      <c r="F815" s="155"/>
      <c r="I815" s="155"/>
    </row>
    <row r="816" ht="12.0" customHeight="1">
      <c r="A816" s="155"/>
      <c r="B816" s="155"/>
      <c r="C816" s="155"/>
      <c r="F816" s="155"/>
      <c r="I816" s="155"/>
    </row>
    <row r="817" ht="12.0" customHeight="1">
      <c r="A817" s="155"/>
      <c r="B817" s="155"/>
      <c r="C817" s="155"/>
      <c r="F817" s="155"/>
      <c r="I817" s="155"/>
    </row>
    <row r="818" ht="12.0" customHeight="1">
      <c r="A818" s="155"/>
      <c r="B818" s="155"/>
      <c r="C818" s="155"/>
      <c r="F818" s="155"/>
      <c r="I818" s="155"/>
    </row>
    <row r="819" ht="12.0" customHeight="1">
      <c r="A819" s="155"/>
      <c r="B819" s="155"/>
      <c r="C819" s="155"/>
      <c r="F819" s="155"/>
      <c r="I819" s="155"/>
    </row>
    <row r="820" ht="12.0" customHeight="1">
      <c r="A820" s="155"/>
      <c r="B820" s="155"/>
      <c r="C820" s="155"/>
      <c r="F820" s="155"/>
      <c r="I820" s="155"/>
    </row>
    <row r="821" ht="12.0" customHeight="1">
      <c r="A821" s="155"/>
      <c r="B821" s="155"/>
      <c r="C821" s="155"/>
      <c r="F821" s="155"/>
      <c r="I821" s="155"/>
    </row>
    <row r="822" ht="12.0" customHeight="1">
      <c r="A822" s="155"/>
      <c r="B822" s="155"/>
      <c r="C822" s="155"/>
      <c r="F822" s="155"/>
      <c r="I822" s="155"/>
    </row>
    <row r="823" ht="12.0" customHeight="1">
      <c r="A823" s="155"/>
      <c r="B823" s="155"/>
      <c r="C823" s="155"/>
      <c r="F823" s="155"/>
      <c r="I823" s="155"/>
    </row>
    <row r="824" ht="12.0" customHeight="1">
      <c r="A824" s="155"/>
      <c r="B824" s="155"/>
      <c r="C824" s="155"/>
      <c r="F824" s="155"/>
      <c r="I824" s="155"/>
    </row>
    <row r="825" ht="12.0" customHeight="1">
      <c r="A825" s="155"/>
      <c r="B825" s="155"/>
      <c r="C825" s="155"/>
      <c r="F825" s="155"/>
      <c r="I825" s="155"/>
    </row>
    <row r="826" ht="12.0" customHeight="1">
      <c r="A826" s="155"/>
      <c r="B826" s="155"/>
      <c r="C826" s="155"/>
      <c r="F826" s="155"/>
      <c r="I826" s="155"/>
    </row>
    <row r="827" ht="12.0" customHeight="1">
      <c r="A827" s="155"/>
      <c r="B827" s="155"/>
      <c r="C827" s="155"/>
      <c r="F827" s="155"/>
      <c r="I827" s="155"/>
    </row>
    <row r="828" ht="12.0" customHeight="1">
      <c r="A828" s="155"/>
      <c r="B828" s="155"/>
      <c r="C828" s="155"/>
      <c r="F828" s="155"/>
      <c r="I828" s="155"/>
    </row>
    <row r="829" ht="12.0" customHeight="1">
      <c r="A829" s="155"/>
      <c r="B829" s="155"/>
      <c r="C829" s="155"/>
      <c r="F829" s="155"/>
      <c r="I829" s="155"/>
    </row>
    <row r="830" ht="12.0" customHeight="1">
      <c r="A830" s="155"/>
      <c r="B830" s="155"/>
      <c r="C830" s="155"/>
      <c r="F830" s="155"/>
      <c r="I830" s="155"/>
    </row>
    <row r="831" ht="12.0" customHeight="1">
      <c r="A831" s="155"/>
      <c r="B831" s="155"/>
      <c r="C831" s="155"/>
      <c r="F831" s="155"/>
      <c r="I831" s="155"/>
    </row>
    <row r="832" ht="12.0" customHeight="1">
      <c r="A832" s="155"/>
      <c r="B832" s="155"/>
      <c r="C832" s="155"/>
      <c r="F832" s="155"/>
      <c r="I832" s="155"/>
    </row>
    <row r="833" ht="12.0" customHeight="1">
      <c r="A833" s="155"/>
      <c r="B833" s="155"/>
      <c r="C833" s="155"/>
      <c r="F833" s="155"/>
      <c r="I833" s="155"/>
    </row>
    <row r="834" ht="12.0" customHeight="1">
      <c r="A834" s="155"/>
      <c r="B834" s="155"/>
      <c r="C834" s="155"/>
      <c r="F834" s="155"/>
      <c r="I834" s="155"/>
    </row>
    <row r="835" ht="12.0" customHeight="1">
      <c r="A835" s="155"/>
      <c r="B835" s="155"/>
      <c r="C835" s="155"/>
      <c r="F835" s="155"/>
      <c r="I835" s="155"/>
    </row>
    <row r="836" ht="12.0" customHeight="1">
      <c r="A836" s="155"/>
      <c r="B836" s="155"/>
      <c r="C836" s="155"/>
      <c r="F836" s="155"/>
      <c r="I836" s="155"/>
    </row>
    <row r="837" ht="12.0" customHeight="1">
      <c r="A837" s="155"/>
      <c r="B837" s="155"/>
      <c r="C837" s="155"/>
      <c r="F837" s="155"/>
      <c r="I837" s="155"/>
    </row>
    <row r="838" ht="12.0" customHeight="1">
      <c r="A838" s="155"/>
      <c r="B838" s="155"/>
      <c r="C838" s="155"/>
      <c r="F838" s="155"/>
      <c r="I838" s="155"/>
    </row>
    <row r="839" ht="12.0" customHeight="1">
      <c r="A839" s="155"/>
      <c r="B839" s="155"/>
      <c r="C839" s="155"/>
      <c r="F839" s="155"/>
      <c r="I839" s="155"/>
    </row>
    <row r="840" ht="12.0" customHeight="1">
      <c r="A840" s="155"/>
      <c r="B840" s="155"/>
      <c r="C840" s="155"/>
      <c r="F840" s="155"/>
      <c r="I840" s="155"/>
    </row>
    <row r="841" ht="12.0" customHeight="1">
      <c r="A841" s="155"/>
      <c r="B841" s="155"/>
      <c r="C841" s="155"/>
      <c r="F841" s="155"/>
      <c r="I841" s="155"/>
    </row>
    <row r="842" ht="12.0" customHeight="1">
      <c r="A842" s="155"/>
      <c r="B842" s="155"/>
      <c r="C842" s="155"/>
      <c r="F842" s="155"/>
      <c r="I842" s="155"/>
    </row>
    <row r="843" ht="12.0" customHeight="1">
      <c r="A843" s="155"/>
      <c r="B843" s="155"/>
      <c r="C843" s="155"/>
      <c r="F843" s="155"/>
      <c r="I843" s="155"/>
    </row>
    <row r="844" ht="12.0" customHeight="1">
      <c r="A844" s="155"/>
      <c r="B844" s="155"/>
      <c r="C844" s="155"/>
      <c r="F844" s="155"/>
      <c r="I844" s="155"/>
    </row>
    <row r="845" ht="12.0" customHeight="1">
      <c r="A845" s="155"/>
      <c r="B845" s="155"/>
      <c r="C845" s="155"/>
      <c r="F845" s="155"/>
      <c r="I845" s="155"/>
    </row>
    <row r="846" ht="12.0" customHeight="1">
      <c r="A846" s="155"/>
      <c r="B846" s="155"/>
      <c r="C846" s="155"/>
      <c r="F846" s="155"/>
      <c r="I846" s="155"/>
    </row>
    <row r="847" ht="12.0" customHeight="1">
      <c r="A847" s="155"/>
      <c r="B847" s="155"/>
      <c r="C847" s="155"/>
      <c r="F847" s="155"/>
      <c r="I847" s="155"/>
    </row>
    <row r="848" ht="12.0" customHeight="1">
      <c r="A848" s="155"/>
      <c r="B848" s="155"/>
      <c r="C848" s="155"/>
      <c r="F848" s="155"/>
      <c r="I848" s="155"/>
    </row>
    <row r="849" ht="12.0" customHeight="1">
      <c r="A849" s="155"/>
      <c r="B849" s="155"/>
      <c r="C849" s="155"/>
      <c r="F849" s="155"/>
      <c r="I849" s="155"/>
    </row>
    <row r="850" ht="12.0" customHeight="1">
      <c r="A850" s="155"/>
      <c r="B850" s="155"/>
      <c r="C850" s="155"/>
      <c r="F850" s="155"/>
      <c r="I850" s="155"/>
    </row>
    <row r="851" ht="12.0" customHeight="1">
      <c r="A851" s="155"/>
      <c r="B851" s="155"/>
      <c r="C851" s="155"/>
      <c r="F851" s="155"/>
      <c r="I851" s="155"/>
    </row>
    <row r="852" ht="12.0" customHeight="1">
      <c r="A852" s="155"/>
      <c r="B852" s="155"/>
      <c r="C852" s="155"/>
      <c r="F852" s="155"/>
      <c r="I852" s="155"/>
    </row>
    <row r="853" ht="12.0" customHeight="1">
      <c r="A853" s="155"/>
      <c r="B853" s="155"/>
      <c r="C853" s="155"/>
      <c r="F853" s="155"/>
      <c r="I853" s="155"/>
    </row>
    <row r="854" ht="12.0" customHeight="1">
      <c r="A854" s="155"/>
      <c r="B854" s="155"/>
      <c r="C854" s="155"/>
      <c r="F854" s="155"/>
      <c r="I854" s="155"/>
    </row>
    <row r="855" ht="12.0" customHeight="1">
      <c r="A855" s="155"/>
      <c r="B855" s="155"/>
      <c r="C855" s="155"/>
      <c r="F855" s="155"/>
      <c r="I855" s="155"/>
    </row>
    <row r="856" ht="12.0" customHeight="1">
      <c r="A856" s="155"/>
      <c r="B856" s="155"/>
      <c r="C856" s="155"/>
      <c r="F856" s="155"/>
      <c r="I856" s="155"/>
    </row>
    <row r="857" ht="12.0" customHeight="1">
      <c r="A857" s="155"/>
      <c r="B857" s="155"/>
      <c r="C857" s="155"/>
      <c r="F857" s="155"/>
      <c r="I857" s="155"/>
    </row>
    <row r="858" ht="12.0" customHeight="1">
      <c r="A858" s="155"/>
      <c r="B858" s="155"/>
      <c r="C858" s="155"/>
      <c r="F858" s="155"/>
      <c r="I858" s="155"/>
    </row>
    <row r="859" ht="12.0" customHeight="1">
      <c r="A859" s="155"/>
      <c r="B859" s="155"/>
      <c r="C859" s="155"/>
      <c r="F859" s="155"/>
      <c r="I859" s="155"/>
    </row>
    <row r="860" ht="12.0" customHeight="1">
      <c r="A860" s="155"/>
      <c r="B860" s="155"/>
      <c r="C860" s="155"/>
      <c r="F860" s="155"/>
      <c r="I860" s="155"/>
    </row>
    <row r="861" ht="12.0" customHeight="1">
      <c r="A861" s="155"/>
      <c r="B861" s="155"/>
      <c r="C861" s="155"/>
      <c r="F861" s="155"/>
      <c r="I861" s="155"/>
    </row>
    <row r="862" ht="12.0" customHeight="1">
      <c r="A862" s="155"/>
      <c r="B862" s="155"/>
      <c r="C862" s="155"/>
      <c r="F862" s="155"/>
      <c r="I862" s="155"/>
    </row>
    <row r="863" ht="12.0" customHeight="1">
      <c r="A863" s="155"/>
      <c r="B863" s="155"/>
      <c r="C863" s="155"/>
      <c r="F863" s="155"/>
      <c r="I863" s="155"/>
    </row>
    <row r="864" ht="12.0" customHeight="1">
      <c r="A864" s="155"/>
      <c r="B864" s="155"/>
      <c r="C864" s="155"/>
      <c r="F864" s="155"/>
      <c r="I864" s="155"/>
    </row>
    <row r="865" ht="12.0" customHeight="1">
      <c r="A865" s="155"/>
      <c r="B865" s="155"/>
      <c r="C865" s="155"/>
      <c r="F865" s="155"/>
      <c r="I865" s="155"/>
    </row>
    <row r="866" ht="12.0" customHeight="1">
      <c r="A866" s="155"/>
      <c r="B866" s="155"/>
      <c r="C866" s="155"/>
      <c r="F866" s="155"/>
      <c r="I866" s="155"/>
    </row>
    <row r="867" ht="12.0" customHeight="1">
      <c r="A867" s="155"/>
      <c r="B867" s="155"/>
      <c r="C867" s="155"/>
      <c r="F867" s="155"/>
      <c r="I867" s="155"/>
    </row>
    <row r="868" ht="12.0" customHeight="1">
      <c r="A868" s="155"/>
      <c r="B868" s="155"/>
      <c r="C868" s="155"/>
      <c r="F868" s="155"/>
      <c r="I868" s="155"/>
    </row>
    <row r="869" ht="12.0" customHeight="1">
      <c r="A869" s="155"/>
      <c r="B869" s="155"/>
      <c r="C869" s="155"/>
      <c r="F869" s="155"/>
      <c r="I869" s="155"/>
    </row>
    <row r="870" ht="12.0" customHeight="1">
      <c r="A870" s="155"/>
      <c r="B870" s="155"/>
      <c r="C870" s="155"/>
      <c r="F870" s="155"/>
      <c r="I870" s="155"/>
    </row>
    <row r="871" ht="12.0" customHeight="1">
      <c r="A871" s="155"/>
      <c r="B871" s="155"/>
      <c r="C871" s="155"/>
      <c r="F871" s="155"/>
      <c r="I871" s="155"/>
    </row>
    <row r="872" ht="12.0" customHeight="1">
      <c r="A872" s="155"/>
      <c r="B872" s="155"/>
      <c r="C872" s="155"/>
      <c r="F872" s="155"/>
      <c r="I872" s="155"/>
    </row>
    <row r="873" ht="12.0" customHeight="1">
      <c r="A873" s="155"/>
      <c r="B873" s="155"/>
      <c r="C873" s="155"/>
      <c r="F873" s="155"/>
      <c r="I873" s="155"/>
    </row>
    <row r="874" ht="12.0" customHeight="1">
      <c r="A874" s="155"/>
      <c r="B874" s="155"/>
      <c r="C874" s="155"/>
      <c r="F874" s="155"/>
      <c r="I874" s="155"/>
    </row>
    <row r="875" ht="12.0" customHeight="1">
      <c r="A875" s="155"/>
      <c r="B875" s="155"/>
      <c r="C875" s="155"/>
      <c r="F875" s="155"/>
      <c r="I875" s="155"/>
    </row>
    <row r="876" ht="12.0" customHeight="1">
      <c r="A876" s="155"/>
      <c r="B876" s="155"/>
      <c r="C876" s="155"/>
      <c r="F876" s="155"/>
      <c r="I876" s="155"/>
    </row>
    <row r="877" ht="12.0" customHeight="1">
      <c r="A877" s="155"/>
      <c r="B877" s="155"/>
      <c r="C877" s="155"/>
      <c r="F877" s="155"/>
      <c r="I877" s="155"/>
    </row>
    <row r="878" ht="12.0" customHeight="1">
      <c r="A878" s="155"/>
      <c r="B878" s="155"/>
      <c r="C878" s="155"/>
      <c r="F878" s="155"/>
      <c r="I878" s="155"/>
    </row>
    <row r="879" ht="12.0" customHeight="1">
      <c r="A879" s="155"/>
      <c r="B879" s="155"/>
      <c r="C879" s="155"/>
      <c r="F879" s="155"/>
      <c r="I879" s="155"/>
    </row>
    <row r="880" ht="12.0" customHeight="1">
      <c r="A880" s="155"/>
      <c r="B880" s="155"/>
      <c r="C880" s="155"/>
      <c r="F880" s="155"/>
      <c r="I880" s="155"/>
    </row>
    <row r="881" ht="12.0" customHeight="1">
      <c r="A881" s="155"/>
      <c r="B881" s="155"/>
      <c r="C881" s="155"/>
      <c r="F881" s="155"/>
      <c r="I881" s="155"/>
    </row>
    <row r="882" ht="12.0" customHeight="1">
      <c r="A882" s="155"/>
      <c r="B882" s="155"/>
      <c r="C882" s="155"/>
      <c r="F882" s="155"/>
      <c r="I882" s="155"/>
    </row>
    <row r="883" ht="12.0" customHeight="1">
      <c r="A883" s="155"/>
      <c r="B883" s="155"/>
      <c r="C883" s="155"/>
      <c r="F883" s="155"/>
      <c r="I883" s="155"/>
    </row>
    <row r="884" ht="12.0" customHeight="1">
      <c r="A884" s="155"/>
      <c r="B884" s="155"/>
      <c r="C884" s="155"/>
      <c r="F884" s="155"/>
      <c r="I884" s="155"/>
    </row>
    <row r="885" ht="12.0" customHeight="1">
      <c r="A885" s="155"/>
      <c r="B885" s="155"/>
      <c r="C885" s="155"/>
      <c r="F885" s="155"/>
      <c r="I885" s="155"/>
    </row>
    <row r="886" ht="12.0" customHeight="1">
      <c r="A886" s="155"/>
      <c r="B886" s="155"/>
      <c r="C886" s="155"/>
      <c r="F886" s="155"/>
      <c r="I886" s="155"/>
    </row>
    <row r="887" ht="12.0" customHeight="1">
      <c r="A887" s="155"/>
      <c r="B887" s="155"/>
      <c r="C887" s="155"/>
      <c r="F887" s="155"/>
      <c r="I887" s="155"/>
    </row>
    <row r="888" ht="12.0" customHeight="1">
      <c r="A888" s="155"/>
      <c r="B888" s="155"/>
      <c r="C888" s="155"/>
      <c r="F888" s="155"/>
      <c r="I888" s="155"/>
    </row>
    <row r="889" ht="12.0" customHeight="1">
      <c r="A889" s="155"/>
      <c r="B889" s="155"/>
      <c r="C889" s="155"/>
      <c r="F889" s="155"/>
      <c r="I889" s="155"/>
    </row>
    <row r="890" ht="12.0" customHeight="1">
      <c r="A890" s="155"/>
      <c r="B890" s="155"/>
      <c r="C890" s="155"/>
      <c r="F890" s="155"/>
      <c r="I890" s="155"/>
    </row>
    <row r="891" ht="12.0" customHeight="1">
      <c r="A891" s="155"/>
      <c r="B891" s="155"/>
      <c r="C891" s="155"/>
      <c r="F891" s="155"/>
      <c r="I891" s="155"/>
    </row>
    <row r="892" ht="12.0" customHeight="1">
      <c r="A892" s="155"/>
      <c r="B892" s="155"/>
      <c r="C892" s="155"/>
      <c r="F892" s="155"/>
      <c r="I892" s="155"/>
    </row>
    <row r="893" ht="12.0" customHeight="1">
      <c r="A893" s="155"/>
      <c r="B893" s="155"/>
      <c r="C893" s="155"/>
      <c r="F893" s="155"/>
      <c r="I893" s="155"/>
    </row>
    <row r="894" ht="12.0" customHeight="1">
      <c r="A894" s="155"/>
      <c r="B894" s="155"/>
      <c r="C894" s="155"/>
      <c r="F894" s="155"/>
      <c r="I894" s="155"/>
    </row>
    <row r="895" ht="12.0" customHeight="1">
      <c r="A895" s="155"/>
      <c r="B895" s="155"/>
      <c r="C895" s="155"/>
      <c r="F895" s="155"/>
      <c r="I895" s="155"/>
    </row>
    <row r="896" ht="12.0" customHeight="1">
      <c r="A896" s="155"/>
      <c r="B896" s="155"/>
      <c r="C896" s="155"/>
      <c r="F896" s="155"/>
      <c r="I896" s="155"/>
    </row>
    <row r="897" ht="12.0" customHeight="1">
      <c r="A897" s="155"/>
      <c r="B897" s="155"/>
      <c r="C897" s="155"/>
      <c r="F897" s="155"/>
      <c r="I897" s="155"/>
    </row>
    <row r="898" ht="12.0" customHeight="1">
      <c r="A898" s="155"/>
      <c r="B898" s="155"/>
      <c r="C898" s="155"/>
      <c r="F898" s="155"/>
      <c r="I898" s="155"/>
    </row>
    <row r="899" ht="12.0" customHeight="1">
      <c r="A899" s="155"/>
      <c r="B899" s="155"/>
      <c r="C899" s="155"/>
      <c r="F899" s="155"/>
      <c r="I899" s="155"/>
    </row>
    <row r="900" ht="12.0" customHeight="1">
      <c r="A900" s="155"/>
      <c r="B900" s="155"/>
      <c r="C900" s="155"/>
      <c r="F900" s="155"/>
      <c r="I900" s="155"/>
    </row>
    <row r="901" ht="12.0" customHeight="1">
      <c r="A901" s="155"/>
      <c r="B901" s="155"/>
      <c r="C901" s="155"/>
      <c r="F901" s="155"/>
      <c r="I901" s="155"/>
    </row>
    <row r="902" ht="12.0" customHeight="1">
      <c r="A902" s="155"/>
      <c r="B902" s="155"/>
      <c r="C902" s="155"/>
      <c r="F902" s="155"/>
      <c r="I902" s="155"/>
    </row>
    <row r="903" ht="12.0" customHeight="1">
      <c r="A903" s="155"/>
      <c r="B903" s="155"/>
      <c r="C903" s="155"/>
      <c r="F903" s="155"/>
      <c r="I903" s="155"/>
    </row>
    <row r="904" ht="12.0" customHeight="1">
      <c r="A904" s="155"/>
      <c r="B904" s="155"/>
      <c r="C904" s="155"/>
      <c r="F904" s="155"/>
      <c r="I904" s="155"/>
    </row>
    <row r="905" ht="12.0" customHeight="1">
      <c r="A905" s="155"/>
      <c r="B905" s="155"/>
      <c r="C905" s="155"/>
      <c r="F905" s="155"/>
      <c r="I905" s="155"/>
    </row>
    <row r="906" ht="12.0" customHeight="1">
      <c r="A906" s="155"/>
      <c r="B906" s="155"/>
      <c r="C906" s="155"/>
      <c r="F906" s="155"/>
      <c r="I906" s="155"/>
    </row>
    <row r="907" ht="12.0" customHeight="1">
      <c r="A907" s="155"/>
      <c r="B907" s="155"/>
      <c r="C907" s="155"/>
      <c r="F907" s="155"/>
      <c r="I907" s="155"/>
    </row>
    <row r="908" ht="12.0" customHeight="1">
      <c r="A908" s="155"/>
      <c r="B908" s="155"/>
      <c r="C908" s="155"/>
      <c r="F908" s="155"/>
      <c r="I908" s="155"/>
    </row>
    <row r="909" ht="12.0" customHeight="1">
      <c r="A909" s="155"/>
      <c r="B909" s="155"/>
      <c r="C909" s="155"/>
      <c r="F909" s="155"/>
      <c r="I909" s="155"/>
    </row>
    <row r="910" ht="12.0" customHeight="1">
      <c r="A910" s="155"/>
      <c r="B910" s="155"/>
      <c r="C910" s="155"/>
      <c r="F910" s="155"/>
      <c r="I910" s="155"/>
    </row>
    <row r="911" ht="12.0" customHeight="1">
      <c r="A911" s="155"/>
      <c r="B911" s="155"/>
      <c r="C911" s="155"/>
      <c r="F911" s="155"/>
      <c r="I911" s="155"/>
    </row>
    <row r="912" ht="12.0" customHeight="1">
      <c r="A912" s="155"/>
      <c r="B912" s="155"/>
      <c r="C912" s="155"/>
      <c r="F912" s="155"/>
      <c r="I912" s="155"/>
    </row>
    <row r="913" ht="12.0" customHeight="1">
      <c r="A913" s="155"/>
      <c r="B913" s="155"/>
      <c r="C913" s="155"/>
      <c r="F913" s="155"/>
      <c r="I913" s="155"/>
    </row>
    <row r="914" ht="12.0" customHeight="1">
      <c r="A914" s="155"/>
      <c r="B914" s="155"/>
      <c r="C914" s="155"/>
      <c r="F914" s="155"/>
      <c r="I914" s="155"/>
    </row>
    <row r="915" ht="12.0" customHeight="1">
      <c r="A915" s="155"/>
      <c r="B915" s="155"/>
      <c r="C915" s="155"/>
      <c r="F915" s="155"/>
      <c r="I915" s="155"/>
    </row>
    <row r="916" ht="12.0" customHeight="1">
      <c r="A916" s="155"/>
      <c r="B916" s="155"/>
      <c r="C916" s="155"/>
      <c r="F916" s="155"/>
      <c r="I916" s="155"/>
    </row>
    <row r="917" ht="12.0" customHeight="1">
      <c r="A917" s="155"/>
      <c r="B917" s="155"/>
      <c r="C917" s="155"/>
      <c r="F917" s="155"/>
      <c r="I917" s="155"/>
    </row>
    <row r="918" ht="12.0" customHeight="1">
      <c r="A918" s="155"/>
      <c r="B918" s="155"/>
      <c r="C918" s="155"/>
      <c r="F918" s="155"/>
      <c r="I918" s="155"/>
    </row>
    <row r="919" ht="12.0" customHeight="1">
      <c r="A919" s="155"/>
      <c r="B919" s="155"/>
      <c r="C919" s="155"/>
      <c r="F919" s="155"/>
      <c r="I919" s="155"/>
    </row>
    <row r="920" ht="12.0" customHeight="1">
      <c r="A920" s="155"/>
      <c r="B920" s="155"/>
      <c r="C920" s="155"/>
      <c r="F920" s="155"/>
      <c r="I920" s="155"/>
    </row>
    <row r="921" ht="12.0" customHeight="1">
      <c r="A921" s="155"/>
      <c r="B921" s="155"/>
      <c r="C921" s="155"/>
      <c r="F921" s="155"/>
      <c r="I921" s="155"/>
    </row>
    <row r="922" ht="12.0" customHeight="1">
      <c r="A922" s="155"/>
      <c r="B922" s="155"/>
      <c r="C922" s="155"/>
      <c r="F922" s="155"/>
      <c r="I922" s="155"/>
    </row>
    <row r="923" ht="12.0" customHeight="1">
      <c r="A923" s="155"/>
      <c r="B923" s="155"/>
      <c r="C923" s="155"/>
      <c r="F923" s="155"/>
      <c r="I923" s="155"/>
    </row>
    <row r="924" ht="12.0" customHeight="1">
      <c r="A924" s="155"/>
      <c r="B924" s="155"/>
      <c r="C924" s="155"/>
      <c r="F924" s="155"/>
      <c r="I924" s="155"/>
    </row>
    <row r="925" ht="12.0" customHeight="1">
      <c r="A925" s="155"/>
      <c r="B925" s="155"/>
      <c r="C925" s="155"/>
      <c r="F925" s="155"/>
      <c r="I925" s="155"/>
    </row>
    <row r="926" ht="12.0" customHeight="1">
      <c r="A926" s="155"/>
      <c r="B926" s="155"/>
      <c r="C926" s="155"/>
      <c r="F926" s="155"/>
      <c r="I926" s="155"/>
    </row>
    <row r="927" ht="12.0" customHeight="1">
      <c r="A927" s="155"/>
      <c r="B927" s="155"/>
      <c r="C927" s="155"/>
      <c r="F927" s="155"/>
      <c r="I927" s="155"/>
    </row>
    <row r="928" ht="12.0" customHeight="1">
      <c r="A928" s="155"/>
      <c r="B928" s="155"/>
      <c r="C928" s="155"/>
      <c r="F928" s="155"/>
      <c r="I928" s="155"/>
    </row>
    <row r="929" ht="12.0" customHeight="1">
      <c r="A929" s="155"/>
      <c r="B929" s="155"/>
      <c r="C929" s="155"/>
      <c r="F929" s="155"/>
      <c r="I929" s="155"/>
    </row>
    <row r="930" ht="12.0" customHeight="1">
      <c r="A930" s="155"/>
      <c r="B930" s="155"/>
      <c r="C930" s="155"/>
      <c r="F930" s="155"/>
      <c r="I930" s="155"/>
    </row>
    <row r="931" ht="12.0" customHeight="1">
      <c r="A931" s="155"/>
      <c r="B931" s="155"/>
      <c r="C931" s="155"/>
      <c r="F931" s="155"/>
      <c r="I931" s="155"/>
    </row>
    <row r="932" ht="12.0" customHeight="1">
      <c r="A932" s="155"/>
      <c r="B932" s="155"/>
      <c r="C932" s="155"/>
      <c r="F932" s="155"/>
      <c r="I932" s="155"/>
    </row>
    <row r="933" ht="12.0" customHeight="1">
      <c r="A933" s="155"/>
      <c r="B933" s="155"/>
      <c r="C933" s="155"/>
      <c r="F933" s="155"/>
      <c r="I933" s="155"/>
    </row>
    <row r="934" ht="12.0" customHeight="1">
      <c r="A934" s="155"/>
      <c r="B934" s="155"/>
      <c r="C934" s="155"/>
      <c r="F934" s="155"/>
      <c r="I934" s="155"/>
    </row>
    <row r="935" ht="12.0" customHeight="1">
      <c r="A935" s="155"/>
      <c r="B935" s="155"/>
      <c r="C935" s="155"/>
      <c r="F935" s="155"/>
      <c r="I935" s="155"/>
    </row>
    <row r="936" ht="12.0" customHeight="1">
      <c r="A936" s="155"/>
      <c r="B936" s="155"/>
      <c r="C936" s="155"/>
      <c r="F936" s="155"/>
      <c r="I936" s="155"/>
    </row>
    <row r="937" ht="12.0" customHeight="1">
      <c r="A937" s="155"/>
      <c r="B937" s="155"/>
      <c r="C937" s="155"/>
      <c r="F937" s="155"/>
      <c r="I937" s="155"/>
    </row>
    <row r="938" ht="12.0" customHeight="1">
      <c r="A938" s="155"/>
      <c r="B938" s="155"/>
      <c r="C938" s="155"/>
      <c r="F938" s="155"/>
      <c r="I938" s="155"/>
    </row>
    <row r="939" ht="12.0" customHeight="1">
      <c r="A939" s="155"/>
      <c r="B939" s="155"/>
      <c r="C939" s="155"/>
      <c r="F939" s="155"/>
      <c r="I939" s="155"/>
    </row>
    <row r="940" ht="12.0" customHeight="1">
      <c r="A940" s="155"/>
      <c r="B940" s="155"/>
      <c r="C940" s="155"/>
      <c r="F940" s="155"/>
      <c r="I940" s="155"/>
    </row>
    <row r="941" ht="12.0" customHeight="1">
      <c r="A941" s="155"/>
      <c r="B941" s="155"/>
      <c r="C941" s="155"/>
      <c r="F941" s="155"/>
      <c r="I941" s="155"/>
    </row>
    <row r="942" ht="12.0" customHeight="1">
      <c r="A942" s="155"/>
      <c r="B942" s="155"/>
      <c r="C942" s="155"/>
      <c r="F942" s="155"/>
      <c r="I942" s="155"/>
    </row>
    <row r="943" ht="12.0" customHeight="1">
      <c r="A943" s="155"/>
      <c r="B943" s="155"/>
      <c r="C943" s="155"/>
      <c r="F943" s="155"/>
      <c r="I943" s="155"/>
    </row>
    <row r="944" ht="12.0" customHeight="1">
      <c r="A944" s="155"/>
      <c r="B944" s="155"/>
      <c r="C944" s="155"/>
      <c r="F944" s="155"/>
      <c r="I944" s="155"/>
    </row>
    <row r="945" ht="12.0" customHeight="1">
      <c r="A945" s="155"/>
      <c r="B945" s="155"/>
      <c r="C945" s="155"/>
      <c r="F945" s="155"/>
      <c r="I945" s="155"/>
    </row>
    <row r="946" ht="12.0" customHeight="1">
      <c r="A946" s="155"/>
      <c r="B946" s="155"/>
      <c r="C946" s="155"/>
      <c r="F946" s="155"/>
      <c r="I946" s="155"/>
    </row>
    <row r="947" ht="12.0" customHeight="1">
      <c r="A947" s="155"/>
      <c r="B947" s="155"/>
      <c r="C947" s="155"/>
      <c r="F947" s="155"/>
      <c r="I947" s="155"/>
    </row>
    <row r="948" ht="12.0" customHeight="1">
      <c r="A948" s="155"/>
      <c r="B948" s="155"/>
      <c r="C948" s="155"/>
      <c r="F948" s="155"/>
      <c r="I948" s="155"/>
    </row>
    <row r="949" ht="12.0" customHeight="1">
      <c r="A949" s="155"/>
      <c r="B949" s="155"/>
      <c r="C949" s="155"/>
      <c r="F949" s="155"/>
      <c r="I949" s="155"/>
    </row>
    <row r="950" ht="12.0" customHeight="1">
      <c r="A950" s="155"/>
      <c r="B950" s="155"/>
      <c r="C950" s="155"/>
      <c r="F950" s="155"/>
      <c r="I950" s="155"/>
    </row>
    <row r="951" ht="12.0" customHeight="1">
      <c r="A951" s="155"/>
      <c r="B951" s="155"/>
      <c r="C951" s="155"/>
      <c r="F951" s="155"/>
      <c r="I951" s="155"/>
    </row>
    <row r="952" ht="12.0" customHeight="1">
      <c r="A952" s="155"/>
      <c r="B952" s="155"/>
      <c r="C952" s="155"/>
      <c r="F952" s="155"/>
      <c r="I952" s="155"/>
    </row>
    <row r="953" ht="12.0" customHeight="1">
      <c r="A953" s="155"/>
      <c r="B953" s="155"/>
      <c r="C953" s="155"/>
      <c r="F953" s="155"/>
      <c r="I953" s="155"/>
    </row>
    <row r="954" ht="12.0" customHeight="1">
      <c r="A954" s="155"/>
      <c r="B954" s="155"/>
      <c r="C954" s="155"/>
      <c r="F954" s="155"/>
      <c r="I954" s="155"/>
    </row>
    <row r="955" ht="12.0" customHeight="1">
      <c r="A955" s="155"/>
      <c r="B955" s="155"/>
      <c r="C955" s="155"/>
      <c r="F955" s="155"/>
      <c r="I955" s="155"/>
    </row>
    <row r="956" ht="12.0" customHeight="1">
      <c r="A956" s="155"/>
      <c r="B956" s="155"/>
      <c r="C956" s="155"/>
      <c r="F956" s="155"/>
      <c r="I956" s="155"/>
    </row>
    <row r="957" ht="12.0" customHeight="1">
      <c r="A957" s="155"/>
      <c r="B957" s="155"/>
      <c r="C957" s="155"/>
      <c r="F957" s="155"/>
      <c r="I957" s="155"/>
    </row>
    <row r="958" ht="12.0" customHeight="1">
      <c r="A958" s="155"/>
      <c r="B958" s="155"/>
      <c r="C958" s="155"/>
      <c r="F958" s="155"/>
      <c r="I958" s="155"/>
    </row>
    <row r="959" ht="12.0" customHeight="1">
      <c r="A959" s="155"/>
      <c r="B959" s="155"/>
      <c r="C959" s="155"/>
      <c r="F959" s="155"/>
      <c r="I959" s="155"/>
    </row>
    <row r="960" ht="12.0" customHeight="1">
      <c r="A960" s="155"/>
      <c r="B960" s="155"/>
      <c r="C960" s="155"/>
      <c r="F960" s="155"/>
      <c r="I960" s="155"/>
    </row>
    <row r="961" ht="12.0" customHeight="1">
      <c r="A961" s="155"/>
      <c r="B961" s="155"/>
      <c r="C961" s="155"/>
      <c r="F961" s="155"/>
      <c r="I961" s="155"/>
    </row>
    <row r="962" ht="12.0" customHeight="1">
      <c r="A962" s="155"/>
      <c r="B962" s="155"/>
      <c r="C962" s="155"/>
      <c r="F962" s="155"/>
      <c r="I962" s="155"/>
    </row>
    <row r="963" ht="12.0" customHeight="1">
      <c r="A963" s="155"/>
      <c r="B963" s="155"/>
      <c r="C963" s="155"/>
      <c r="F963" s="155"/>
      <c r="I963" s="155"/>
    </row>
    <row r="964" ht="12.0" customHeight="1">
      <c r="A964" s="155"/>
      <c r="B964" s="155"/>
      <c r="C964" s="155"/>
      <c r="F964" s="155"/>
      <c r="I964" s="155"/>
    </row>
    <row r="965" ht="12.0" customHeight="1">
      <c r="A965" s="155"/>
      <c r="B965" s="155"/>
      <c r="C965" s="155"/>
      <c r="F965" s="155"/>
      <c r="I965" s="155"/>
    </row>
    <row r="966" ht="12.0" customHeight="1">
      <c r="A966" s="155"/>
      <c r="B966" s="155"/>
      <c r="C966" s="155"/>
      <c r="F966" s="155"/>
      <c r="I966" s="155"/>
    </row>
    <row r="967" ht="12.0" customHeight="1">
      <c r="A967" s="155"/>
      <c r="B967" s="155"/>
      <c r="C967" s="155"/>
      <c r="F967" s="155"/>
      <c r="I967" s="155"/>
    </row>
    <row r="968" ht="12.0" customHeight="1">
      <c r="A968" s="155"/>
      <c r="B968" s="155"/>
      <c r="C968" s="155"/>
      <c r="F968" s="155"/>
      <c r="I968" s="155"/>
    </row>
    <row r="969" ht="12.0" customHeight="1">
      <c r="A969" s="155"/>
      <c r="B969" s="155"/>
      <c r="C969" s="155"/>
      <c r="F969" s="155"/>
      <c r="I969" s="155"/>
    </row>
    <row r="970" ht="12.0" customHeight="1">
      <c r="A970" s="155"/>
      <c r="B970" s="155"/>
      <c r="C970" s="155"/>
      <c r="F970" s="155"/>
      <c r="I970" s="155"/>
    </row>
    <row r="971" ht="12.0" customHeight="1">
      <c r="A971" s="155"/>
      <c r="B971" s="155"/>
      <c r="C971" s="155"/>
      <c r="F971" s="155"/>
      <c r="I971" s="155"/>
    </row>
    <row r="972" ht="12.0" customHeight="1">
      <c r="A972" s="155"/>
      <c r="B972" s="155"/>
      <c r="C972" s="155"/>
      <c r="F972" s="155"/>
      <c r="I972" s="155"/>
    </row>
    <row r="973" ht="12.0" customHeight="1">
      <c r="A973" s="155"/>
      <c r="B973" s="155"/>
      <c r="C973" s="155"/>
      <c r="F973" s="155"/>
      <c r="I973" s="155"/>
    </row>
    <row r="974" ht="12.0" customHeight="1">
      <c r="A974" s="155"/>
      <c r="B974" s="155"/>
      <c r="C974" s="155"/>
      <c r="F974" s="155"/>
      <c r="I974" s="155"/>
    </row>
    <row r="975" ht="12.0" customHeight="1">
      <c r="A975" s="155"/>
      <c r="B975" s="155"/>
      <c r="C975" s="155"/>
      <c r="F975" s="155"/>
      <c r="I975" s="155"/>
    </row>
    <row r="976" ht="12.0" customHeight="1">
      <c r="A976" s="155"/>
      <c r="B976" s="155"/>
      <c r="C976" s="155"/>
      <c r="F976" s="155"/>
      <c r="I976" s="155"/>
    </row>
    <row r="977" ht="12.0" customHeight="1">
      <c r="A977" s="155"/>
      <c r="B977" s="155"/>
      <c r="C977" s="155"/>
      <c r="F977" s="155"/>
      <c r="I977" s="155"/>
    </row>
    <row r="978" ht="12.0" customHeight="1">
      <c r="A978" s="155"/>
      <c r="B978" s="155"/>
      <c r="C978" s="155"/>
      <c r="F978" s="155"/>
      <c r="I978" s="155"/>
    </row>
    <row r="979" ht="12.0" customHeight="1">
      <c r="A979" s="155"/>
      <c r="B979" s="155"/>
      <c r="C979" s="155"/>
      <c r="F979" s="155"/>
      <c r="I979" s="155"/>
    </row>
    <row r="980" ht="12.0" customHeight="1">
      <c r="A980" s="155"/>
      <c r="B980" s="155"/>
      <c r="C980" s="155"/>
      <c r="F980" s="155"/>
      <c r="I980" s="155"/>
    </row>
    <row r="981" ht="12.0" customHeight="1">
      <c r="A981" s="155"/>
      <c r="B981" s="155"/>
      <c r="C981" s="155"/>
      <c r="F981" s="155"/>
      <c r="I981" s="155"/>
    </row>
    <row r="982" ht="12.0" customHeight="1">
      <c r="A982" s="155"/>
      <c r="B982" s="155"/>
      <c r="C982" s="155"/>
      <c r="F982" s="155"/>
      <c r="I982" s="155"/>
    </row>
    <row r="983" ht="12.0" customHeight="1">
      <c r="A983" s="155"/>
      <c r="B983" s="155"/>
      <c r="C983" s="155"/>
      <c r="F983" s="155"/>
      <c r="I983" s="155"/>
    </row>
    <row r="984" ht="12.0" customHeight="1">
      <c r="A984" s="155"/>
      <c r="B984" s="155"/>
      <c r="C984" s="155"/>
      <c r="F984" s="155"/>
      <c r="I984" s="155"/>
    </row>
    <row r="985" ht="12.0" customHeight="1">
      <c r="A985" s="155"/>
      <c r="B985" s="155"/>
      <c r="C985" s="155"/>
      <c r="F985" s="155"/>
      <c r="I985" s="155"/>
    </row>
    <row r="986" ht="12.0" customHeight="1">
      <c r="A986" s="155"/>
      <c r="B986" s="155"/>
      <c r="C986" s="155"/>
      <c r="F986" s="155"/>
      <c r="I986" s="155"/>
    </row>
    <row r="987" ht="12.0" customHeight="1">
      <c r="A987" s="155"/>
      <c r="B987" s="155"/>
      <c r="C987" s="155"/>
      <c r="F987" s="155"/>
      <c r="I987" s="155"/>
    </row>
    <row r="988" ht="12.0" customHeight="1">
      <c r="A988" s="155"/>
      <c r="B988" s="155"/>
      <c r="C988" s="155"/>
      <c r="F988" s="155"/>
      <c r="I988" s="155"/>
    </row>
    <row r="989" ht="12.0" customHeight="1">
      <c r="A989" s="155"/>
      <c r="B989" s="155"/>
      <c r="C989" s="155"/>
      <c r="F989" s="155"/>
      <c r="I989" s="155"/>
    </row>
    <row r="990" ht="12.0" customHeight="1">
      <c r="A990" s="155"/>
      <c r="B990" s="155"/>
      <c r="C990" s="155"/>
      <c r="F990" s="155"/>
      <c r="I990" s="155"/>
    </row>
    <row r="991" ht="12.0" customHeight="1">
      <c r="A991" s="155"/>
      <c r="B991" s="155"/>
      <c r="C991" s="155"/>
      <c r="F991" s="155"/>
      <c r="I991" s="155"/>
    </row>
    <row r="992" ht="12.0" customHeight="1">
      <c r="A992" s="155"/>
      <c r="B992" s="155"/>
      <c r="C992" s="155"/>
      <c r="F992" s="155"/>
      <c r="I992" s="155"/>
    </row>
    <row r="993" ht="12.0" customHeight="1">
      <c r="A993" s="155"/>
      <c r="B993" s="155"/>
      <c r="C993" s="155"/>
      <c r="F993" s="155"/>
      <c r="I993" s="155"/>
    </row>
    <row r="994" ht="12.0" customHeight="1">
      <c r="A994" s="155"/>
      <c r="B994" s="155"/>
      <c r="C994" s="155"/>
      <c r="F994" s="155"/>
      <c r="I994" s="155"/>
    </row>
    <row r="995" ht="12.0" customHeight="1">
      <c r="A995" s="155"/>
      <c r="B995" s="155"/>
      <c r="C995" s="155"/>
      <c r="F995" s="155"/>
      <c r="I995" s="155"/>
    </row>
    <row r="996" ht="12.0" customHeight="1">
      <c r="A996" s="155"/>
      <c r="B996" s="155"/>
      <c r="C996" s="155"/>
      <c r="F996" s="155"/>
      <c r="I996" s="155"/>
    </row>
    <row r="997" ht="12.0" customHeight="1">
      <c r="A997" s="155"/>
      <c r="B997" s="155"/>
      <c r="C997" s="155"/>
      <c r="F997" s="155"/>
      <c r="I997" s="155"/>
    </row>
    <row r="998" ht="12.0" customHeight="1">
      <c r="A998" s="155"/>
      <c r="B998" s="155"/>
      <c r="C998" s="155"/>
      <c r="F998" s="155"/>
      <c r="I998" s="155"/>
    </row>
    <row r="999" ht="12.0" customHeight="1">
      <c r="A999" s="155"/>
      <c r="B999" s="155"/>
      <c r="C999" s="155"/>
      <c r="F999" s="155"/>
      <c r="I999" s="155"/>
    </row>
    <row r="1000" ht="12.0" customHeight="1">
      <c r="A1000" s="155"/>
      <c r="B1000" s="155"/>
      <c r="C1000" s="155"/>
      <c r="F1000" s="155"/>
      <c r="I1000" s="155"/>
    </row>
  </sheetData>
  <mergeCells count="4">
    <mergeCell ref="A1:J3"/>
    <mergeCell ref="E4:E5"/>
    <mergeCell ref="I4:J5"/>
    <mergeCell ref="B5:D5"/>
  </mergeCells>
  <dataValidations>
    <dataValidation type="list" allowBlank="1" showInputMessage="1" showErrorMessage="1" prompt="&lt;목록선택&gt; - 입력하지 마시고 목록에서 선택해주세요" sqref="B97:B98 B120:B169">
      <formula1>'4.관항목정리목록 (2)'!$B$5:$B$7</formula1>
    </dataValidation>
    <dataValidation type="list" allowBlank="1" showErrorMessage="1" sqref="C7:C168">
      <formula1>'예산계획서 입력_예시'!$C$9:$C$15</formula1>
    </dataValidation>
    <dataValidation type="list" allowBlank="1" showInputMessage="1" showErrorMessage="1" prompt="&lt;목록선택&gt; - 입력하지 마시고 목록에서 선택해주세요" sqref="B7:B96 B99:B119">
      <formula1>'4.관항목정리목록 (2)'!$B$5:$B$11</formula1>
    </dataValidation>
  </dataValidations>
  <printOptions/>
  <pageMargins bottom="0.2755905511811024" footer="0.0" header="0.0" left="0.03937007874015748" right="0.03937007874015748" top="0.5118110236220472"/>
  <pageSetup paperSize="9" scale="52" orientation="landscape"/>
  <headerFooter>
    <oddFooter>&amp;L재단법인 숲과나눔&amp;C&amp;P/&amp;R&amp;D&amp;T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1.43"/>
    <col customWidth="1" min="3" max="3" width="9.43"/>
    <col customWidth="1" min="4" max="4" width="50.71"/>
    <col customWidth="1" min="5" max="5" width="13.43"/>
    <col customWidth="1" hidden="1" min="6" max="6" width="13.43"/>
    <col customWidth="1" hidden="1" min="7" max="7" width="32.71"/>
    <col customWidth="1" hidden="1" min="8" max="8" width="14.0"/>
    <col customWidth="1" hidden="1" min="9" max="9" width="7.71"/>
    <col customWidth="1" hidden="1" min="10" max="10" width="8.86"/>
    <col customWidth="1" hidden="1" min="11" max="11" width="8.0"/>
    <col customWidth="1" hidden="1" min="12" max="12" width="17.14"/>
    <col customWidth="1" hidden="1" min="13" max="13" width="14.14"/>
    <col customWidth="1" min="14" max="29" width="8.0"/>
  </cols>
  <sheetData>
    <row r="1" ht="33.75" customHeight="1">
      <c r="A1" s="1" t="s">
        <v>127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0.25" customHeight="1"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</row>
    <row r="3" ht="28.5" customHeight="1">
      <c r="N3" s="4"/>
      <c r="O3" s="5"/>
      <c r="P3" s="5"/>
      <c r="Q3" s="5"/>
      <c r="R3" s="5"/>
      <c r="S3" s="5"/>
      <c r="T3" s="2"/>
      <c r="U3" s="2"/>
      <c r="V3" s="2"/>
      <c r="W3" s="2"/>
      <c r="X3" s="2"/>
      <c r="Y3" s="2"/>
      <c r="Z3" s="2"/>
      <c r="AA3" s="2"/>
      <c r="AB3" s="2"/>
      <c r="AC3" s="3"/>
    </row>
    <row r="4" ht="27.75" customHeight="1">
      <c r="A4" s="6" t="s">
        <v>2</v>
      </c>
      <c r="B4" s="7"/>
      <c r="C4" s="8" t="s">
        <v>3</v>
      </c>
      <c r="D4" s="7"/>
      <c r="E4" s="9" t="s">
        <v>4</v>
      </c>
      <c r="F4" s="158"/>
      <c r="G4" s="11" t="s">
        <v>6</v>
      </c>
      <c r="H4" s="12" t="s">
        <v>7</v>
      </c>
      <c r="I4" s="13"/>
      <c r="J4" s="13"/>
      <c r="K4" s="13"/>
      <c r="L4" s="13"/>
      <c r="M4" s="14"/>
      <c r="N4" s="15"/>
      <c r="O4" s="16"/>
    </row>
    <row r="5" ht="27.75" customHeight="1">
      <c r="A5" s="17" t="s">
        <v>10</v>
      </c>
      <c r="B5" s="18"/>
      <c r="C5" s="19" t="s">
        <v>11</v>
      </c>
      <c r="D5" s="20"/>
      <c r="E5" s="20"/>
      <c r="F5" s="20"/>
      <c r="G5" s="20"/>
      <c r="H5" s="20"/>
      <c r="I5" s="20"/>
      <c r="J5" s="20"/>
      <c r="K5" s="20"/>
      <c r="L5" s="20"/>
      <c r="M5" s="21"/>
      <c r="N5" s="22"/>
    </row>
    <row r="6" ht="45.0" customHeight="1">
      <c r="A6" s="23" t="s">
        <v>128</v>
      </c>
      <c r="B6" s="24"/>
      <c r="C6" s="24"/>
      <c r="D6" s="24"/>
      <c r="E6" s="25"/>
      <c r="F6" s="26" t="s">
        <v>129</v>
      </c>
      <c r="G6" s="24"/>
      <c r="H6" s="24"/>
      <c r="I6" s="24"/>
      <c r="J6" s="24"/>
      <c r="K6" s="24"/>
      <c r="L6" s="24"/>
      <c r="M6" s="27"/>
      <c r="N6" s="159" t="s">
        <v>130</v>
      </c>
      <c r="O6" s="5"/>
      <c r="P6" s="5"/>
      <c r="Q6" s="5"/>
      <c r="R6" s="5"/>
      <c r="S6" s="5"/>
      <c r="T6" s="2"/>
      <c r="U6" s="2"/>
      <c r="V6" s="2"/>
      <c r="W6" s="2"/>
      <c r="X6" s="2"/>
      <c r="Y6" s="2"/>
      <c r="Z6" s="2"/>
      <c r="AA6" s="2"/>
      <c r="AB6" s="2"/>
      <c r="AC6" s="3"/>
    </row>
    <row r="7" ht="15.0" customHeight="1">
      <c r="A7" s="28" t="s">
        <v>14</v>
      </c>
      <c r="B7" s="29"/>
      <c r="C7" s="30"/>
      <c r="D7" s="31" t="s">
        <v>15</v>
      </c>
      <c r="E7" s="160" t="s">
        <v>16</v>
      </c>
      <c r="F7" s="33" t="s">
        <v>17</v>
      </c>
      <c r="G7" s="34"/>
      <c r="H7" s="34"/>
      <c r="I7" s="34"/>
      <c r="J7" s="34"/>
      <c r="K7" s="35"/>
      <c r="L7" s="31" t="s">
        <v>18</v>
      </c>
      <c r="M7" s="36" t="s">
        <v>19</v>
      </c>
      <c r="N7" s="159"/>
      <c r="O7" s="5"/>
      <c r="P7" s="5"/>
      <c r="Q7" s="5"/>
      <c r="R7" s="5"/>
      <c r="S7" s="5"/>
      <c r="T7" s="2"/>
      <c r="U7" s="2"/>
      <c r="V7" s="2"/>
      <c r="W7" s="2"/>
      <c r="X7" s="2"/>
      <c r="Y7" s="2"/>
      <c r="Z7" s="2"/>
      <c r="AA7" s="2"/>
      <c r="AB7" s="2"/>
      <c r="AC7" s="3"/>
    </row>
    <row r="8" ht="21.0" customHeight="1">
      <c r="A8" s="37" t="s">
        <v>20</v>
      </c>
      <c r="B8" s="38" t="s">
        <v>21</v>
      </c>
      <c r="C8" s="38" t="s">
        <v>22</v>
      </c>
      <c r="D8" s="39"/>
      <c r="E8" s="161"/>
      <c r="F8" s="41"/>
      <c r="G8" s="42"/>
      <c r="H8" s="42"/>
      <c r="I8" s="42"/>
      <c r="J8" s="42"/>
      <c r="K8" s="43"/>
      <c r="L8" s="39"/>
      <c r="M8" s="44"/>
      <c r="N8" s="5"/>
      <c r="O8" s="5"/>
      <c r="P8" s="5"/>
      <c r="Q8" s="5"/>
      <c r="R8" s="5"/>
      <c r="S8" s="5"/>
      <c r="T8" s="2"/>
      <c r="U8" s="2"/>
      <c r="V8" s="2"/>
      <c r="W8" s="2"/>
      <c r="X8" s="2"/>
      <c r="Y8" s="2"/>
      <c r="Z8" s="2"/>
      <c r="AA8" s="2"/>
      <c r="AB8" s="2"/>
      <c r="AC8" s="3"/>
    </row>
    <row r="9" ht="93.0" customHeight="1">
      <c r="A9" s="162" t="s">
        <v>23</v>
      </c>
      <c r="B9" s="47" t="s">
        <v>24</v>
      </c>
      <c r="C9" s="47" t="s">
        <v>25</v>
      </c>
      <c r="D9" s="48" t="s">
        <v>26</v>
      </c>
      <c r="E9" s="49">
        <v>450000.0</v>
      </c>
      <c r="F9" s="92" t="str">
        <f t="array" ref="F9">TEXTJOIN(CHAR(10),TRUE,IF('활동비지출일별내역'!C$7:C$168='예산계획서 입력_예시'!C9,#REF!,""))</f>
        <v>#REF!</v>
      </c>
      <c r="G9" s="29"/>
      <c r="H9" s="29"/>
      <c r="I9" s="29"/>
      <c r="J9" s="29"/>
      <c r="K9" s="30"/>
      <c r="L9" s="51" t="str">
        <f>SUMIF('활동비지출일별내역'!C$7:C$168,'예산계획서 입력_예시'!C9,'활동비지출일별내역'!G$7:G$168)</f>
        <v>#N/A</v>
      </c>
      <c r="M9" s="163" t="str">
        <f>E9-L9</f>
        <v>#N/A</v>
      </c>
      <c r="N9" s="52"/>
      <c r="O9" s="53"/>
    </row>
    <row r="10" ht="93.0" customHeight="1">
      <c r="A10" s="164"/>
      <c r="B10" s="56" t="s">
        <v>24</v>
      </c>
      <c r="C10" s="56" t="s">
        <v>29</v>
      </c>
      <c r="D10" s="57" t="s">
        <v>30</v>
      </c>
      <c r="E10" s="58">
        <v>500000.0</v>
      </c>
      <c r="F10" s="165"/>
      <c r="G10" s="166"/>
      <c r="H10" s="166"/>
      <c r="I10" s="166"/>
      <c r="J10" s="166"/>
      <c r="K10" s="167"/>
      <c r="L10" s="60"/>
      <c r="M10" s="168"/>
      <c r="N10" s="62"/>
    </row>
    <row r="11" ht="108.0" customHeight="1">
      <c r="A11" s="164"/>
      <c r="B11" s="56" t="s">
        <v>32</v>
      </c>
      <c r="C11" s="56" t="s">
        <v>33</v>
      </c>
      <c r="D11" s="64" t="s">
        <v>131</v>
      </c>
      <c r="E11" s="65">
        <v>1200000.0</v>
      </c>
      <c r="F11" s="169" t="str">
        <f t="array" ref="F11">TEXTJOIN(CHAR(10),TRUE,IF('활동비지출일별내역'!C$7:C$168='예산계획서 입력_예시'!C10,#REF!,""))</f>
        <v>#REF!</v>
      </c>
      <c r="G11" s="13"/>
      <c r="H11" s="13"/>
      <c r="I11" s="13"/>
      <c r="J11" s="13"/>
      <c r="K11" s="7"/>
      <c r="L11" s="60" t="str">
        <f>SUMIF('활동비지출일별내역'!C$7:C$168,'예산계획서 입력_예시'!C10,'활동비지출일별내역'!G$7:G$168)</f>
        <v>#N/A</v>
      </c>
      <c r="M11" s="170" t="str">
        <f t="shared" ref="M11:M12" si="1">E10-L11</f>
        <v>#N/A</v>
      </c>
      <c r="N11" s="62"/>
    </row>
    <row r="12" ht="152.25" customHeight="1">
      <c r="A12" s="164"/>
      <c r="B12" s="56" t="s">
        <v>36</v>
      </c>
      <c r="C12" s="56" t="s">
        <v>37</v>
      </c>
      <c r="D12" s="64" t="s">
        <v>132</v>
      </c>
      <c r="E12" s="65">
        <v>500000.0</v>
      </c>
      <c r="F12" s="169" t="str">
        <f t="array" ref="F12">TEXTJOIN(CHAR(10),TRUE,IF('활동비지출일별내역'!C$7:C$168='예산계획서 입력_예시'!C11,#REF!,""))</f>
        <v>#REF!</v>
      </c>
      <c r="G12" s="13"/>
      <c r="H12" s="13"/>
      <c r="I12" s="13"/>
      <c r="J12" s="13"/>
      <c r="K12" s="7"/>
      <c r="L12" s="60" t="str">
        <f>SUMIF('활동비지출일별내역'!C$7:C$168,'예산계획서 입력_예시'!C11,'활동비지출일별내역'!G$7:G$168)</f>
        <v>#N/A</v>
      </c>
      <c r="M12" s="170" t="str">
        <f t="shared" si="1"/>
        <v>#N/A</v>
      </c>
      <c r="N12" s="62"/>
    </row>
    <row r="13" ht="261.75" customHeight="1">
      <c r="A13" s="171"/>
      <c r="B13" s="56" t="s">
        <v>36</v>
      </c>
      <c r="C13" s="56" t="s">
        <v>40</v>
      </c>
      <c r="D13" s="67" t="s">
        <v>41</v>
      </c>
      <c r="E13" s="58">
        <v>350000.0</v>
      </c>
      <c r="F13" s="169" t="str">
        <f t="array" ref="F13">TEXTJOIN(CHAR(10),TRUE,IF('활동비지출일별내역'!C$7:C$168='예산계획서 입력_예시'!C13,#REF!,""))</f>
        <v>#REF!</v>
      </c>
      <c r="G13" s="13"/>
      <c r="H13" s="13"/>
      <c r="I13" s="13"/>
      <c r="J13" s="13"/>
      <c r="K13" s="7"/>
      <c r="L13" s="60" t="str">
        <f>SUMIF('활동비지출일별내역'!C$7:C$168,'예산계획서 입력_예시'!C13,'활동비지출일별내역'!G$7:G$168)</f>
        <v>#N/A</v>
      </c>
      <c r="M13" s="170" t="str">
        <f>E13-L13</f>
        <v>#N/A</v>
      </c>
      <c r="N13" s="68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61.75" customHeight="1">
      <c r="A14" s="172"/>
      <c r="B14" s="71" t="s">
        <v>59</v>
      </c>
      <c r="C14" s="71" t="s">
        <v>59</v>
      </c>
      <c r="D14" s="72"/>
      <c r="E14" s="73"/>
      <c r="F14" s="173"/>
      <c r="G14" s="173"/>
      <c r="H14" s="173"/>
      <c r="I14" s="173"/>
      <c r="J14" s="173"/>
      <c r="K14" s="173"/>
      <c r="L14" s="94"/>
      <c r="M14" s="174"/>
      <c r="N14" s="77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61.75" customHeight="1">
      <c r="A15" s="172"/>
      <c r="B15" s="71" t="s">
        <v>43</v>
      </c>
      <c r="C15" s="71" t="s">
        <v>43</v>
      </c>
      <c r="D15" s="72"/>
      <c r="E15" s="73"/>
      <c r="F15" s="173"/>
      <c r="G15" s="173"/>
      <c r="H15" s="173"/>
      <c r="I15" s="173"/>
      <c r="J15" s="173"/>
      <c r="K15" s="173"/>
      <c r="L15" s="94"/>
      <c r="M15" s="174"/>
      <c r="N15" s="77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0.25" customHeight="1">
      <c r="A16" s="78"/>
      <c r="B16" s="79"/>
      <c r="C16" s="80" t="s">
        <v>46</v>
      </c>
      <c r="D16" s="81" t="s">
        <v>47</v>
      </c>
      <c r="E16" s="82">
        <f>SUM(E7:E13)</f>
        <v>3000000</v>
      </c>
      <c r="F16" s="83" t="s">
        <v>47</v>
      </c>
      <c r="G16" s="24"/>
      <c r="H16" s="24"/>
      <c r="I16" s="24"/>
      <c r="J16" s="24"/>
      <c r="K16" s="84"/>
      <c r="L16" s="85" t="str">
        <f>SUM(L9:L13)</f>
        <v>#N/A</v>
      </c>
      <c r="M16" s="175" t="str">
        <f t="shared" ref="M16:M17" si="2">E16-L16</f>
        <v>#N/A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21.0" customHeight="1">
      <c r="A17" s="95"/>
      <c r="B17" s="96" t="s">
        <v>46</v>
      </c>
      <c r="C17" s="83" t="s">
        <v>49</v>
      </c>
      <c r="D17" s="27"/>
      <c r="E17" s="97">
        <f>SUM(E9:E16)-E16</f>
        <v>3000000</v>
      </c>
      <c r="F17" s="98" t="s">
        <v>50</v>
      </c>
      <c r="G17" s="29"/>
      <c r="H17" s="29"/>
      <c r="I17" s="29"/>
      <c r="J17" s="29"/>
      <c r="K17" s="99"/>
      <c r="L17" s="100" t="str">
        <f>SUM(#REF!,L16)</f>
        <v>#REF!</v>
      </c>
      <c r="M17" s="175" t="str">
        <f t="shared" si="2"/>
        <v>#REF!</v>
      </c>
      <c r="N17" s="15"/>
      <c r="O17" s="53"/>
    </row>
    <row r="18" ht="233.25" customHeight="1">
      <c r="A18" s="110" t="s">
        <v>133</v>
      </c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2"/>
      <c r="N18" s="15"/>
      <c r="O18" s="5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22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16.5" customHeight="1">
      <c r="A39" s="3"/>
      <c r="B39" s="3"/>
      <c r="C39" s="3"/>
      <c r="D39" s="3" t="s">
        <v>59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16.5" customHeight="1">
      <c r="A40" s="3"/>
      <c r="B40" s="3"/>
      <c r="C40" s="3"/>
      <c r="D40" s="3" t="s">
        <v>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16.5" customHeight="1">
      <c r="A41" s="3"/>
      <c r="B41" s="3"/>
      <c r="C41" s="3"/>
      <c r="D41" s="3" t="s">
        <v>61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</sheetData>
  <mergeCells count="30">
    <mergeCell ref="A1:M3"/>
    <mergeCell ref="A4:B4"/>
    <mergeCell ref="C4:D4"/>
    <mergeCell ref="H4:M4"/>
    <mergeCell ref="N4:N5"/>
    <mergeCell ref="O4:AC5"/>
    <mergeCell ref="C5:M5"/>
    <mergeCell ref="L7:L8"/>
    <mergeCell ref="M7:M8"/>
    <mergeCell ref="O9:AC12"/>
    <mergeCell ref="F7:K8"/>
    <mergeCell ref="F9:K9"/>
    <mergeCell ref="N9:N12"/>
    <mergeCell ref="F11:K11"/>
    <mergeCell ref="F12:K12"/>
    <mergeCell ref="F13:K13"/>
    <mergeCell ref="F16:K16"/>
    <mergeCell ref="C17:D17"/>
    <mergeCell ref="F17:K17"/>
    <mergeCell ref="O17:AC17"/>
    <mergeCell ref="A18:M18"/>
    <mergeCell ref="N18:N19"/>
    <mergeCell ref="O18:AC19"/>
    <mergeCell ref="A5:B5"/>
    <mergeCell ref="A6:E6"/>
    <mergeCell ref="F6:M6"/>
    <mergeCell ref="A7:C7"/>
    <mergeCell ref="D7:D8"/>
    <mergeCell ref="E7:E8"/>
    <mergeCell ref="A9:A13"/>
  </mergeCells>
  <printOptions/>
  <pageMargins bottom="0.3937007874015748" footer="0.0" header="0.0" left="0.3937007874015748" right="0.3937007874015748" top="0.3937007874015748"/>
  <pageSetup paperSize="9" scale="48" orientation="portrait"/>
  <headerFooter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4.43"/>
    <col customWidth="1" min="3" max="3" width="23.0"/>
    <col customWidth="1" hidden="1" min="4" max="4" width="11.0"/>
    <col customWidth="1" min="5" max="21" width="15.14"/>
    <col customWidth="1" min="22" max="22" width="21.43"/>
    <col customWidth="1" min="23" max="23" width="15.14"/>
    <col customWidth="1" min="24" max="28" width="11.43"/>
    <col customWidth="1" min="29" max="29" width="21.43"/>
    <col customWidth="1" min="30" max="30" width="13.14"/>
    <col customWidth="1" min="31" max="31" width="25.14"/>
    <col customWidth="1" min="32" max="32" width="17.0"/>
    <col customWidth="1" min="33" max="33" width="11.0"/>
    <col customWidth="1" min="34" max="34" width="15.14"/>
    <col customWidth="1" min="35" max="36" width="20.43"/>
    <col customWidth="1" min="37" max="37" width="18.14"/>
    <col customWidth="1" min="38" max="38" width="20.43"/>
    <col customWidth="1" min="39" max="39" width="11.0"/>
    <col customWidth="1" min="40" max="40" width="7.43"/>
    <col customWidth="1" min="41" max="41" width="9.14"/>
    <col customWidth="1" min="42" max="42" width="11.0"/>
    <col customWidth="1" min="43" max="43" width="7.43"/>
    <col customWidth="1" min="44" max="45" width="9.14"/>
    <col customWidth="1" min="46" max="46" width="11.43"/>
    <col customWidth="1" min="47" max="47" width="21.43"/>
    <col customWidth="1" min="48" max="49" width="11.0"/>
    <col customWidth="1" min="50" max="50" width="7.43"/>
    <col customWidth="1" min="51" max="51" width="25.14"/>
    <col customWidth="1" min="52" max="52" width="15.57"/>
    <col customWidth="1" min="53" max="53" width="19.0"/>
    <col customWidth="1" min="54" max="54" width="20.43"/>
    <col customWidth="1" min="55" max="55" width="11.0"/>
    <col customWidth="1" min="56" max="56" width="13.57"/>
    <col customWidth="1" min="57" max="57" width="11.0"/>
  </cols>
  <sheetData>
    <row r="1" ht="14.25" customHeight="1"/>
    <row r="2" ht="21.0" customHeight="1">
      <c r="B2" s="176" t="s">
        <v>134</v>
      </c>
      <c r="V2" s="176" t="s">
        <v>135</v>
      </c>
      <c r="X2" s="3" t="s">
        <v>20</v>
      </c>
    </row>
    <row r="3" ht="18.0" customHeight="1">
      <c r="D3" s="176" t="s">
        <v>22</v>
      </c>
    </row>
    <row r="4" ht="14.25" customHeight="1">
      <c r="B4" s="176" t="s">
        <v>135</v>
      </c>
      <c r="C4" s="176" t="s">
        <v>21</v>
      </c>
      <c r="D4" s="176" t="s">
        <v>136</v>
      </c>
      <c r="E4" s="176" t="s">
        <v>137</v>
      </c>
      <c r="F4" s="176" t="s">
        <v>138</v>
      </c>
      <c r="G4" s="176" t="s">
        <v>139</v>
      </c>
      <c r="V4" s="176" t="s">
        <v>140</v>
      </c>
      <c r="X4" s="176" t="s">
        <v>140</v>
      </c>
      <c r="Y4" s="176" t="s">
        <v>141</v>
      </c>
      <c r="Z4" s="176" t="s">
        <v>142</v>
      </c>
      <c r="AA4" s="176" t="s">
        <v>143</v>
      </c>
      <c r="AB4" s="176" t="s">
        <v>144</v>
      </c>
      <c r="AC4" s="176" t="s">
        <v>145</v>
      </c>
      <c r="AD4" s="176" t="s">
        <v>146</v>
      </c>
      <c r="AE4" s="176" t="s">
        <v>146</v>
      </c>
      <c r="AF4" s="176" t="s">
        <v>147</v>
      </c>
      <c r="AG4" s="176" t="s">
        <v>148</v>
      </c>
      <c r="AJ4" s="3"/>
      <c r="AM4" s="3" t="s">
        <v>142</v>
      </c>
      <c r="AP4" s="3" t="s">
        <v>143</v>
      </c>
      <c r="AT4" s="176" t="s">
        <v>144</v>
      </c>
      <c r="AU4" s="176" t="s">
        <v>145</v>
      </c>
      <c r="AV4" s="3" t="s">
        <v>146</v>
      </c>
      <c r="AY4" s="176" t="s">
        <v>146</v>
      </c>
      <c r="AZ4" s="3" t="s">
        <v>147</v>
      </c>
      <c r="BE4" s="176" t="s">
        <v>148</v>
      </c>
    </row>
    <row r="5" ht="14.25" customHeight="1">
      <c r="B5" s="176" t="s">
        <v>23</v>
      </c>
      <c r="C5" s="176" t="s">
        <v>149</v>
      </c>
      <c r="V5" s="176" t="s">
        <v>142</v>
      </c>
      <c r="Y5" s="176" t="s">
        <v>150</v>
      </c>
      <c r="Z5" s="176" t="s">
        <v>150</v>
      </c>
      <c r="AA5" s="176" t="s">
        <v>150</v>
      </c>
      <c r="AD5" s="176" t="s">
        <v>151</v>
      </c>
      <c r="AF5" s="176" t="s">
        <v>152</v>
      </c>
      <c r="AI5" s="176" t="s">
        <v>153</v>
      </c>
      <c r="AJ5" s="176" t="s">
        <v>154</v>
      </c>
      <c r="AK5" s="176" t="s">
        <v>155</v>
      </c>
      <c r="AZ5" s="176" t="s">
        <v>156</v>
      </c>
      <c r="BA5" s="176" t="s">
        <v>157</v>
      </c>
      <c r="BB5" s="176" t="s">
        <v>158</v>
      </c>
      <c r="BC5" s="176" t="s">
        <v>48</v>
      </c>
      <c r="BD5" s="176" t="s">
        <v>159</v>
      </c>
    </row>
    <row r="6" ht="14.25" customHeight="1">
      <c r="B6" s="176" t="s">
        <v>48</v>
      </c>
      <c r="C6" s="176" t="s">
        <v>36</v>
      </c>
      <c r="V6" s="176" t="s">
        <v>143</v>
      </c>
      <c r="Y6" s="176" t="s">
        <v>160</v>
      </c>
      <c r="Z6" s="176" t="s">
        <v>160</v>
      </c>
      <c r="AA6" s="176" t="s">
        <v>161</v>
      </c>
      <c r="AD6" s="176" t="s">
        <v>150</v>
      </c>
      <c r="AF6" s="176" t="s">
        <v>162</v>
      </c>
      <c r="AI6" s="176" t="s">
        <v>163</v>
      </c>
      <c r="AJ6" s="176" t="s">
        <v>164</v>
      </c>
      <c r="AK6" s="176" t="s">
        <v>165</v>
      </c>
      <c r="AZ6" s="176" t="s">
        <v>166</v>
      </c>
      <c r="BA6" s="176" t="s">
        <v>167</v>
      </c>
      <c r="BB6" s="176" t="s">
        <v>168</v>
      </c>
      <c r="BC6" s="176" t="s">
        <v>169</v>
      </c>
      <c r="BD6" s="176" t="s">
        <v>170</v>
      </c>
    </row>
    <row r="7" ht="14.25" customHeight="1">
      <c r="B7" s="176" t="s">
        <v>46</v>
      </c>
      <c r="C7" s="176" t="s">
        <v>46</v>
      </c>
      <c r="E7" s="176" t="s">
        <v>59</v>
      </c>
      <c r="F7" s="176" t="s">
        <v>60</v>
      </c>
      <c r="G7" s="176" t="s">
        <v>61</v>
      </c>
      <c r="V7" s="176" t="s">
        <v>144</v>
      </c>
      <c r="AA7" s="176" t="s">
        <v>171</v>
      </c>
      <c r="AF7" s="176" t="s">
        <v>172</v>
      </c>
      <c r="AI7" s="176" t="s">
        <v>173</v>
      </c>
      <c r="AJ7" s="176" t="s">
        <v>174</v>
      </c>
      <c r="AK7" s="176" t="s">
        <v>175</v>
      </c>
      <c r="AZ7" s="176" t="s">
        <v>176</v>
      </c>
      <c r="BA7" s="176" t="s">
        <v>177</v>
      </c>
      <c r="BB7" s="176" t="s">
        <v>178</v>
      </c>
      <c r="BC7" s="176" t="s">
        <v>179</v>
      </c>
    </row>
    <row r="8" ht="14.25" customHeight="1">
      <c r="C8" s="176" t="s">
        <v>48</v>
      </c>
      <c r="V8" s="176" t="s">
        <v>145</v>
      </c>
      <c r="AF8" s="176" t="s">
        <v>48</v>
      </c>
      <c r="AI8" s="176" t="s">
        <v>180</v>
      </c>
      <c r="AJ8" s="176" t="s">
        <v>181</v>
      </c>
      <c r="AK8" s="176" t="s">
        <v>182</v>
      </c>
      <c r="AZ8" s="176" t="s">
        <v>183</v>
      </c>
      <c r="BB8" s="176" t="s">
        <v>184</v>
      </c>
      <c r="BC8" s="176" t="s">
        <v>185</v>
      </c>
    </row>
    <row r="9" ht="14.25" customHeight="1">
      <c r="V9" s="176" t="s">
        <v>146</v>
      </c>
      <c r="AI9" s="176" t="s">
        <v>186</v>
      </c>
      <c r="AJ9" s="176" t="s">
        <v>187</v>
      </c>
      <c r="AK9" s="176" t="s">
        <v>188</v>
      </c>
      <c r="AZ9" s="176" t="s">
        <v>189</v>
      </c>
      <c r="BB9" s="176" t="s">
        <v>183</v>
      </c>
    </row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">
    <mergeCell ref="X2:AG2"/>
    <mergeCell ref="AJ4:AL4"/>
    <mergeCell ref="AM4:AO4"/>
    <mergeCell ref="AP4:AS4"/>
    <mergeCell ref="AV4:AX4"/>
    <mergeCell ref="AZ4:BD4"/>
  </mergeCells>
  <printOptions/>
  <pageMargins bottom="0.75" footer="0.0" header="0.0" left="0.38" right="0.1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9.0"/>
    <col customWidth="1" min="2" max="2" width="13.14"/>
    <col customWidth="1" min="3" max="4" width="19.86"/>
    <col customWidth="1" min="5" max="5" width="32.86"/>
    <col customWidth="1" min="6" max="6" width="14.14"/>
    <col customWidth="1" min="7" max="7" width="13.14"/>
    <col customWidth="1" min="8" max="8" width="13.57"/>
    <col customWidth="1" min="9" max="10" width="15.14"/>
    <col customWidth="1" min="11" max="11" width="41.57"/>
    <col customWidth="1" min="12" max="26" width="9.0"/>
  </cols>
  <sheetData>
    <row r="1" ht="16.5" customHeight="1">
      <c r="B1" s="3"/>
      <c r="C1" s="176" t="s">
        <v>190</v>
      </c>
      <c r="G1" s="176" t="str">
        <f>SUM(활동비지출일별내역!#REF!)</f>
        <v>#ERROR!</v>
      </c>
      <c r="H1" s="176" t="str">
        <f>SUM('활동비지출일별내역'!G7:G248)</f>
        <v>#REF!</v>
      </c>
    </row>
    <row r="2" ht="16.5" customHeight="1">
      <c r="C2" s="176" t="s">
        <v>191</v>
      </c>
      <c r="G2" s="176" t="str">
        <f t="shared" ref="G2:H2" si="1">SUM(G7:G31)</f>
        <v>#ERROR!</v>
      </c>
      <c r="H2" s="176" t="str">
        <f t="shared" si="1"/>
        <v>#ERROR!</v>
      </c>
    </row>
    <row r="3" ht="16.5" customHeight="1">
      <c r="C3" s="176" t="s">
        <v>192</v>
      </c>
      <c r="G3" s="176" t="str">
        <f t="shared" ref="G3:H3" si="2">G1-G2</f>
        <v>#ERROR!</v>
      </c>
      <c r="H3" s="176" t="str">
        <f t="shared" si="2"/>
        <v>#REF!</v>
      </c>
    </row>
    <row r="4" ht="28.5" customHeight="1">
      <c r="B4" s="3" t="s">
        <v>193</v>
      </c>
    </row>
    <row r="5" ht="16.5" customHeight="1"/>
    <row r="6" ht="16.5" customHeight="1">
      <c r="B6" s="176" t="s">
        <v>194</v>
      </c>
      <c r="C6" s="176" t="s">
        <v>20</v>
      </c>
      <c r="D6" s="176" t="s">
        <v>195</v>
      </c>
      <c r="E6" s="176" t="s">
        <v>196</v>
      </c>
      <c r="F6" s="176" t="s">
        <v>197</v>
      </c>
      <c r="G6" s="176" t="s">
        <v>198</v>
      </c>
      <c r="H6" s="176" t="s">
        <v>199</v>
      </c>
      <c r="I6" s="176" t="s">
        <v>200</v>
      </c>
      <c r="J6" s="176" t="s">
        <v>201</v>
      </c>
      <c r="K6" s="176" t="s">
        <v>77</v>
      </c>
    </row>
    <row r="7" ht="16.5" customHeight="1">
      <c r="B7" s="176" t="s">
        <v>202</v>
      </c>
      <c r="C7" s="176" t="s">
        <v>203</v>
      </c>
      <c r="G7" s="176" t="str">
        <f>ARRAY_CONSTRAIN(ARRAYFORMULA(SUMPRODUCT((활동비지출일별내역!$B$7:$B$248=B7)*(활동비지출일별내역!#REF!=정산보고서!C7)*(활동비지출일별내역!$C$7:$C$248=정산보고서!D7)*활동비지출일별내역!#REF!)), 1, 1)</f>
        <v>#ERROR!</v>
      </c>
      <c r="H7" s="176" t="str">
        <f>ARRAY_CONSTRAIN(ARRAYFORMULA(SUMPRODUCT((활동비지출일별내역!$B$7:$B$248=B7)*(활동비지출일별내역!#REF!=정산보고서!C7)*(활동비지출일별내역!$C$7:$C$248=정산보고서!D7)*활동비지출일별내역!$G$7:$G$248)), 1, 1)</f>
        <v>#ERROR!</v>
      </c>
    </row>
    <row r="8" ht="16.5" customHeight="1">
      <c r="B8" s="176" t="s">
        <v>202</v>
      </c>
      <c r="C8" s="176" t="s">
        <v>204</v>
      </c>
      <c r="G8" s="176" t="str">
        <f>ARRAY_CONSTRAIN(ARRAYFORMULA(SUMPRODUCT((활동비지출일별내역!$B$7:$B$248=B8)*(활동비지출일별내역!#REF!=정산보고서!C8)*(활동비지출일별내역!$C$7:$C$248=정산보고서!D8)*활동비지출일별내역!#REF!)), 1, 1)</f>
        <v>#ERROR!</v>
      </c>
      <c r="H8" s="176" t="str">
        <f>ARRAY_CONSTRAIN(ARRAYFORMULA(SUMPRODUCT((활동비지출일별내역!$B$7:$B$248=B8)*(활동비지출일별내역!#REF!=정산보고서!C8)*(활동비지출일별내역!$C$7:$C$248=정산보고서!D8)*활동비지출일별내역!$G$7:$G$248)), 1, 1)</f>
        <v>#ERROR!</v>
      </c>
    </row>
    <row r="9" ht="16.5" customHeight="1">
      <c r="B9" s="176" t="s">
        <v>202</v>
      </c>
      <c r="C9" s="176" t="s">
        <v>205</v>
      </c>
    </row>
    <row r="10" ht="16.5" customHeight="1">
      <c r="B10" s="176" t="s">
        <v>46</v>
      </c>
      <c r="C10" s="176" t="s">
        <v>206</v>
      </c>
      <c r="D10" s="176" t="s">
        <v>207</v>
      </c>
      <c r="G10" s="176" t="str">
        <f>ARRAY_CONSTRAIN(ARRAYFORMULA(SUMPRODUCT((활동비지출일별내역!$B$7:$B$248=B10)*(활동비지출일별내역!#REF!=정산보고서!C10)*(활동비지출일별내역!$C$7:$C$248=정산보고서!D10)*활동비지출일별내역!#REF!)), 1, 1)</f>
        <v>#ERROR!</v>
      </c>
      <c r="H10" s="176" t="str">
        <f>ARRAY_CONSTRAIN(ARRAYFORMULA(SUMPRODUCT((활동비지출일별내역!$B$7:$B$248=B10)*(활동비지출일별내역!#REF!=정산보고서!C10)*(활동비지출일별내역!$C$7:$C$248=정산보고서!D10)*활동비지출일별내역!$G$7:$G$248)), 1, 1)</f>
        <v>#ERROR!</v>
      </c>
    </row>
    <row r="11" ht="16.5" customHeight="1">
      <c r="B11" s="176" t="s">
        <v>208</v>
      </c>
      <c r="C11" s="176" t="s">
        <v>205</v>
      </c>
    </row>
    <row r="12" ht="16.5" customHeight="1">
      <c r="B12" s="176" t="s">
        <v>209</v>
      </c>
      <c r="C12" s="176" t="s">
        <v>210</v>
      </c>
      <c r="G12" s="176" t="str">
        <f>ARRAY_CONSTRAIN(ARRAYFORMULA(SUMPRODUCT((활동비지출일별내역!$B$7:$B$248=B12)*(활동비지출일별내역!#REF!=정산보고서!C12)*(활동비지출일별내역!$C$7:$C$248=정산보고서!D12)*활동비지출일별내역!#REF!)), 1, 1)</f>
        <v>#ERROR!</v>
      </c>
      <c r="H12" s="176" t="str">
        <f>ARRAY_CONSTRAIN(ARRAYFORMULA(SUMPRODUCT((활동비지출일별내역!$B$7:$B$248=B12)*(활동비지출일별내역!#REF!=정산보고서!C12)*(활동비지출일별내역!$C$7:$C$248=정산보고서!D12)*활동비지출일별내역!$G$7:$G$248)), 1, 1)</f>
        <v>#ERROR!</v>
      </c>
    </row>
    <row r="13" ht="16.5" customHeight="1">
      <c r="B13" s="176" t="s">
        <v>211</v>
      </c>
      <c r="C13" s="176" t="s">
        <v>212</v>
      </c>
      <c r="G13" s="176" t="str">
        <f>ARRAY_CONSTRAIN(ARRAYFORMULA(SUMPRODUCT((활동비지출일별내역!$B$7:$B$248=B13)*(활동비지출일별내역!#REF!=정산보고서!C13)*(활동비지출일별내역!$C$7:$C$248=정산보고서!D13)*활동비지출일별내역!#REF!)), 1, 1)</f>
        <v>#ERROR!</v>
      </c>
      <c r="H13" s="176" t="str">
        <f>ARRAY_CONSTRAIN(ARRAYFORMULA(SUMPRODUCT((활동비지출일별내역!$B$7:$B$248=B13)*(활동비지출일별내역!#REF!=정산보고서!C13)*(활동비지출일별내역!$C$7:$C$248=정산보고서!D13)*활동비지출일별내역!$G$7:$G$248)), 1, 1)</f>
        <v>#ERROR!</v>
      </c>
    </row>
    <row r="14" ht="16.5" customHeight="1">
      <c r="B14" s="176" t="s">
        <v>210</v>
      </c>
      <c r="C14" s="176" t="s">
        <v>205</v>
      </c>
    </row>
    <row r="15" ht="16.5" customHeight="1">
      <c r="B15" s="176" t="s">
        <v>209</v>
      </c>
      <c r="C15" s="176" t="s">
        <v>213</v>
      </c>
      <c r="G15" s="176" t="str">
        <f>ARRAY_CONSTRAIN(ARRAYFORMULA(SUMPRODUCT((활동비지출일별내역!$B$7:$B$248=B15)*(활동비지출일별내역!#REF!=정산보고서!C15)*(활동비지출일별내역!$C$7:$C$248=정산보고서!D15)*활동비지출일별내역!#REF!)), 1, 1)</f>
        <v>#ERROR!</v>
      </c>
      <c r="H15" s="176" t="str">
        <f>ARRAY_CONSTRAIN(ARRAYFORMULA(SUMPRODUCT((활동비지출일별내역!$B$7:$B$248=B15)*(활동비지출일별내역!#REF!=정산보고서!C15)*(활동비지출일별내역!$C$7:$C$248=정산보고서!D15)*활동비지출일별내역!$G$7:$G$248)), 1, 1)</f>
        <v>#ERROR!</v>
      </c>
    </row>
    <row r="16" ht="16.5" customHeight="1">
      <c r="B16" s="176" t="s">
        <v>211</v>
      </c>
      <c r="C16" s="176" t="s">
        <v>214</v>
      </c>
      <c r="G16" s="176" t="str">
        <f>ARRAY_CONSTRAIN(ARRAYFORMULA(SUMPRODUCT((활동비지출일별내역!$B$7:$B$248=B16)*(활동비지출일별내역!#REF!=정산보고서!C16)*(활동비지출일별내역!$C$7:$C$248=정산보고서!D16)*활동비지출일별내역!#REF!)), 1, 1)</f>
        <v>#ERROR!</v>
      </c>
      <c r="H16" s="176" t="str">
        <f>ARRAY_CONSTRAIN(ARRAYFORMULA(SUMPRODUCT((활동비지출일별내역!$B$7:$B$248=B16)*(활동비지출일별내역!#REF!=정산보고서!C16)*(활동비지출일별내역!$C$7:$C$248=정산보고서!D16)*활동비지출일별내역!$G$7:$G$248)), 1, 1)</f>
        <v>#ERROR!</v>
      </c>
    </row>
    <row r="17" ht="16.5" customHeight="1">
      <c r="B17" s="176" t="s">
        <v>213</v>
      </c>
      <c r="C17" s="176" t="s">
        <v>205</v>
      </c>
    </row>
    <row r="18" ht="16.5" customHeight="1">
      <c r="B18" s="176" t="s">
        <v>150</v>
      </c>
      <c r="C18" s="176" t="s">
        <v>215</v>
      </c>
      <c r="D18" s="176" t="s">
        <v>216</v>
      </c>
      <c r="F18" s="176">
        <v>1.0E7</v>
      </c>
      <c r="G18" s="176" t="str">
        <f>ARRAY_CONSTRAIN(ARRAYFORMULA(SUMPRODUCT((활동비지출일별내역!$B$7:$B$248=B18)*(활동비지출일별내역!#REF!=정산보고서!C18)*(활동비지출일별내역!$C$7:$C$248=정산보고서!D18)*활동비지출일별내역!#REF!)), 1, 1)</f>
        <v>#ERROR!</v>
      </c>
      <c r="H18" s="176" t="str">
        <f>ARRAY_CONSTRAIN(ARRAYFORMULA(SUMPRODUCT((활동비지출일별내역!$B$7:$B$248=B18)*(활동비지출일별내역!#REF!=정산보고서!C18)*(활동비지출일별내역!$C$7:$C$248=정산보고서!D18)*활동비지출일별내역!$G$7:$G$248)), 1, 1)</f>
        <v>#ERROR!</v>
      </c>
      <c r="I18" s="176" t="str">
        <f t="shared" ref="I18:I19" si="3">F18-H18</f>
        <v>#ERROR!</v>
      </c>
      <c r="J18" s="176" t="str">
        <f>H18/F18</f>
        <v>#ERROR!</v>
      </c>
    </row>
    <row r="19" ht="16.5" customHeight="1">
      <c r="B19" s="176" t="s">
        <v>150</v>
      </c>
      <c r="C19" s="176" t="s">
        <v>150</v>
      </c>
      <c r="D19" s="176" t="s">
        <v>217</v>
      </c>
      <c r="G19" s="176" t="str">
        <f>ARRAY_CONSTRAIN(ARRAYFORMULA(SUMPRODUCT((활동비지출일별내역!$B$7:$B$248=B19)*(활동비지출일별내역!#REF!=정산보고서!C19)*(활동비지출일별내역!$C$7:$C$248=정산보고서!D19)*활동비지출일별내역!#REF!)), 1, 1)</f>
        <v>#ERROR!</v>
      </c>
      <c r="H19" s="176" t="str">
        <f>ARRAY_CONSTRAIN(ARRAYFORMULA(SUMPRODUCT((활동비지출일별내역!$B$7:$B$248=B19)*(활동비지출일별내역!#REF!=정산보고서!C19)*(활동비지출일별내역!$C$7:$C$248=정산보고서!D19)*활동비지출일별내역!$G$7:$G$248)), 1, 1)</f>
        <v>#ERROR!</v>
      </c>
      <c r="I19" s="176" t="str">
        <f t="shared" si="3"/>
        <v>#ERROR!</v>
      </c>
    </row>
    <row r="20" ht="16.5" customHeight="1">
      <c r="B20" s="176" t="s">
        <v>150</v>
      </c>
      <c r="C20" s="176" t="s">
        <v>205</v>
      </c>
      <c r="F20" s="176">
        <f>SUM(F18:F19)</f>
        <v>10000000</v>
      </c>
    </row>
    <row r="21" ht="16.5" customHeight="1">
      <c r="B21" s="176" t="s">
        <v>23</v>
      </c>
      <c r="C21" s="176" t="s">
        <v>218</v>
      </c>
      <c r="D21" s="176" t="s">
        <v>219</v>
      </c>
      <c r="F21" s="176">
        <v>4250000.0</v>
      </c>
      <c r="G21" s="176" t="str">
        <f>ARRAY_CONSTRAIN(ARRAYFORMULA(SUMPRODUCT((활동비지출일별내역!$B$7:$B$248=B21)*(활동비지출일별내역!#REF!=정산보고서!C21)*(활동비지출일별내역!$C$7:$C$248=정산보고서!D21)*활동비지출일별내역!#REF!)), 1, 1)</f>
        <v>#ERROR!</v>
      </c>
      <c r="H21" s="176" t="str">
        <f>ARRAY_CONSTRAIN(ARRAYFORMULA(SUMPRODUCT((활동비지출일별내역!$B$7:$B$248=B21)*(활동비지출일별내역!#REF!=정산보고서!C21)*(활동비지출일별내역!$C$7:$C$248=정산보고서!D21)*활동비지출일별내역!$G$7:$G$248)), 1, 1)</f>
        <v>#ERROR!</v>
      </c>
      <c r="I21" s="176" t="str">
        <f t="shared" ref="I21:I26" si="4">F21-H21</f>
        <v>#ERROR!</v>
      </c>
      <c r="J21" s="176" t="str">
        <f t="shared" ref="J21:J26" si="5">H21/F21</f>
        <v>#ERROR!</v>
      </c>
    </row>
    <row r="22" ht="16.5" customHeight="1">
      <c r="B22" s="176" t="s">
        <v>23</v>
      </c>
      <c r="C22" s="176" t="s">
        <v>218</v>
      </c>
      <c r="D22" s="176" t="s">
        <v>220</v>
      </c>
      <c r="F22" s="176">
        <v>2400000.0</v>
      </c>
      <c r="G22" s="176" t="str">
        <f>ARRAY_CONSTRAIN(ARRAYFORMULA(SUMPRODUCT((활동비지출일별내역!$B$7:$B$248=B22)*(활동비지출일별내역!#REF!=정산보고서!C22)*(활동비지출일별내역!$C$7:$C$248=정산보고서!D22)*활동비지출일별내역!#REF!)), 1, 1)</f>
        <v>#ERROR!</v>
      </c>
      <c r="H22" s="176" t="str">
        <f>ARRAY_CONSTRAIN(ARRAYFORMULA(SUMPRODUCT((활동비지출일별내역!$B$7:$B$248=B22)*(활동비지출일별내역!#REF!=정산보고서!C22)*(활동비지출일별내역!$C$7:$C$248=정산보고서!D22)*활동비지출일별내역!$G$7:$G$248)), 1, 1)</f>
        <v>#ERROR!</v>
      </c>
      <c r="I22" s="176" t="str">
        <f t="shared" si="4"/>
        <v>#ERROR!</v>
      </c>
      <c r="J22" s="176" t="str">
        <f t="shared" si="5"/>
        <v>#ERROR!</v>
      </c>
    </row>
    <row r="23" ht="16.5" customHeight="1">
      <c r="B23" s="176" t="s">
        <v>23</v>
      </c>
      <c r="C23" s="176" t="s">
        <v>218</v>
      </c>
      <c r="D23" s="176" t="s">
        <v>221</v>
      </c>
      <c r="F23" s="176">
        <v>5080000.0</v>
      </c>
      <c r="G23" s="176" t="str">
        <f>ARRAY_CONSTRAIN(ARRAYFORMULA(SUMPRODUCT((활동비지출일별내역!$B$7:$B$248=B23)*(활동비지출일별내역!#REF!=정산보고서!C23)*(활동비지출일별내역!$C$7:$C$248=정산보고서!D23)*활동비지출일별내역!#REF!)), 1, 1)</f>
        <v>#ERROR!</v>
      </c>
      <c r="H23" s="176" t="str">
        <f>ARRAY_CONSTRAIN(ARRAYFORMULA(SUMPRODUCT((활동비지출일별내역!$B$7:$B$248=B23)*(활동비지출일별내역!#REF!=정산보고서!C23)*(활동비지출일별내역!$C$7:$C$248=정산보고서!D23)*활동비지출일별내역!$G$7:$G$248)), 1, 1)</f>
        <v>#ERROR!</v>
      </c>
      <c r="I23" s="176" t="str">
        <f t="shared" si="4"/>
        <v>#ERROR!</v>
      </c>
      <c r="J23" s="176" t="str">
        <f t="shared" si="5"/>
        <v>#ERROR!</v>
      </c>
    </row>
    <row r="24" ht="16.5" customHeight="1">
      <c r="B24" s="176" t="s">
        <v>23</v>
      </c>
      <c r="C24" s="176" t="s">
        <v>218</v>
      </c>
      <c r="D24" s="176" t="s">
        <v>222</v>
      </c>
      <c r="F24" s="176">
        <v>1120000.0</v>
      </c>
      <c r="G24" s="176" t="str">
        <f>ARRAY_CONSTRAIN(ARRAYFORMULA(SUMPRODUCT((활동비지출일별내역!$B$7:$B$248=B24)*(활동비지출일별내역!#REF!=정산보고서!C24)*(활동비지출일별내역!$C$7:$C$248=정산보고서!D24)*활동비지출일별내역!#REF!)), 1, 1)</f>
        <v>#ERROR!</v>
      </c>
      <c r="H24" s="176" t="str">
        <f>ARRAY_CONSTRAIN(ARRAYFORMULA(SUMPRODUCT((활동비지출일별내역!$B$7:$B$248=B24)*(활동비지출일별내역!#REF!=정산보고서!C24)*(활동비지출일별내역!$C$7:$C$248=정산보고서!D24)*활동비지출일별내역!$G$7:$G$248)), 1, 1)</f>
        <v>#ERROR!</v>
      </c>
      <c r="I24" s="176" t="str">
        <f t="shared" si="4"/>
        <v>#ERROR!</v>
      </c>
      <c r="J24" s="176" t="str">
        <f t="shared" si="5"/>
        <v>#ERROR!</v>
      </c>
    </row>
    <row r="25" ht="16.5" customHeight="1">
      <c r="B25" s="176" t="s">
        <v>23</v>
      </c>
      <c r="C25" s="176" t="s">
        <v>223</v>
      </c>
      <c r="D25" s="176" t="s">
        <v>224</v>
      </c>
      <c r="F25" s="176">
        <v>2600000.0</v>
      </c>
      <c r="G25" s="176" t="str">
        <f>ARRAY_CONSTRAIN(ARRAYFORMULA(SUMPRODUCT((활동비지출일별내역!$B$7:$B$248=B25)*(활동비지출일별내역!#REF!=정산보고서!C25)*(활동비지출일별내역!$C$7:$C$248=정산보고서!D25)*활동비지출일별내역!#REF!)), 1, 1)</f>
        <v>#ERROR!</v>
      </c>
      <c r="H25" s="176" t="str">
        <f>ARRAY_CONSTRAIN(ARRAYFORMULA(SUMPRODUCT((활동비지출일별내역!$B$7:$B$248=B25)*(활동비지출일별내역!#REF!=정산보고서!C25)*(활동비지출일별내역!$C$7:$C$248=정산보고서!D25)*활동비지출일별내역!$G$7:$G$248)), 1, 1)</f>
        <v>#ERROR!</v>
      </c>
      <c r="I25" s="176" t="str">
        <f t="shared" si="4"/>
        <v>#ERROR!</v>
      </c>
      <c r="J25" s="176" t="str">
        <f t="shared" si="5"/>
        <v>#ERROR!</v>
      </c>
    </row>
    <row r="26" ht="16.5" customHeight="1">
      <c r="B26" s="176" t="s">
        <v>23</v>
      </c>
      <c r="C26" s="176" t="s">
        <v>223</v>
      </c>
      <c r="D26" s="176" t="s">
        <v>225</v>
      </c>
      <c r="F26" s="176">
        <v>1600000.0</v>
      </c>
      <c r="G26" s="176" t="str">
        <f>ARRAY_CONSTRAIN(ARRAYFORMULA(SUMPRODUCT((활동비지출일별내역!$B$7:$B$248=B26)*(활동비지출일별내역!#REF!=정산보고서!C26)*(활동비지출일별내역!$C$7:$C$248=정산보고서!D26)*활동비지출일별내역!#REF!)), 1, 1)</f>
        <v>#ERROR!</v>
      </c>
      <c r="H26" s="176" t="str">
        <f>ARRAY_CONSTRAIN(ARRAYFORMULA(SUMPRODUCT((활동비지출일별내역!$B$7:$B$248=B26)*(활동비지출일별내역!#REF!=정산보고서!C26)*(활동비지출일별내역!$C$7:$C$248=정산보고서!D26)*활동비지출일별내역!$G$7:$G$248)), 1, 1)</f>
        <v>#ERROR!</v>
      </c>
      <c r="I26" s="176" t="str">
        <f t="shared" si="4"/>
        <v>#ERROR!</v>
      </c>
      <c r="J26" s="176" t="str">
        <f t="shared" si="5"/>
        <v>#ERROR!</v>
      </c>
    </row>
    <row r="27" ht="16.5" customHeight="1">
      <c r="B27" s="176" t="s">
        <v>23</v>
      </c>
      <c r="C27" s="176" t="s">
        <v>205</v>
      </c>
      <c r="F27" s="176">
        <f>SUM(F21:F26)</f>
        <v>17050000</v>
      </c>
    </row>
    <row r="28" ht="16.5" customHeight="1">
      <c r="B28" s="176" t="s">
        <v>226</v>
      </c>
      <c r="C28" s="176" t="s">
        <v>48</v>
      </c>
      <c r="D28" s="176" t="s">
        <v>227</v>
      </c>
      <c r="F28" s="176">
        <v>350000.0</v>
      </c>
      <c r="G28" s="176" t="str">
        <f>ARRAY_CONSTRAIN(ARRAYFORMULA(SUMPRODUCT((활동비지출일별내역!$B$7:$B$248=B28)*(활동비지출일별내역!#REF!=정산보고서!C28)*(활동비지출일별내역!$C$7:$C$248=정산보고서!D28)*활동비지출일별내역!#REF!)), 1, 1)</f>
        <v>#ERROR!</v>
      </c>
      <c r="H28" s="176" t="str">
        <f>ARRAY_CONSTRAIN(ARRAYFORMULA(SUMPRODUCT((활동비지출일별내역!$B$7:$B$248=B28)*(활동비지출일별내역!#REF!=정산보고서!C28)*(활동비지출일별내역!$C$7:$C$248=정산보고서!D28)*활동비지출일별내역!$G$7:$G$248)), 1, 1)</f>
        <v>#ERROR!</v>
      </c>
      <c r="I28" s="176" t="str">
        <f t="shared" ref="I28:I30" si="6">F28-H28</f>
        <v>#ERROR!</v>
      </c>
      <c r="J28" s="176" t="str">
        <f t="shared" ref="J28:J30" si="7">H28/F28</f>
        <v>#ERROR!</v>
      </c>
    </row>
    <row r="29" ht="16.5" customHeight="1">
      <c r="B29" s="176" t="s">
        <v>226</v>
      </c>
      <c r="C29" s="176" t="s">
        <v>48</v>
      </c>
      <c r="D29" s="176" t="s">
        <v>228</v>
      </c>
      <c r="F29" s="176">
        <v>500000.0</v>
      </c>
      <c r="G29" s="176" t="str">
        <f>ARRAY_CONSTRAIN(ARRAYFORMULA(SUMPRODUCT((활동비지출일별내역!$B$7:$B$248=B29)*(활동비지출일별내역!#REF!=정산보고서!C29)*(활동비지출일별내역!$C$7:$C$248=정산보고서!D29)*활동비지출일별내역!#REF!)), 1, 1)</f>
        <v>#ERROR!</v>
      </c>
      <c r="H29" s="176" t="str">
        <f>ARRAY_CONSTRAIN(ARRAYFORMULA(SUMPRODUCT((활동비지출일별내역!$B$7:$B$248=B29)*(활동비지출일별내역!#REF!=정산보고서!C29)*(활동비지출일별내역!$C$7:$C$248=정산보고서!D29)*활동비지출일별내역!$G$7:$G$248)), 1, 1)</f>
        <v>#ERROR!</v>
      </c>
      <c r="I29" s="176" t="str">
        <f t="shared" si="6"/>
        <v>#ERROR!</v>
      </c>
      <c r="J29" s="176" t="str">
        <f t="shared" si="7"/>
        <v>#ERROR!</v>
      </c>
    </row>
    <row r="30" ht="16.5" customHeight="1">
      <c r="B30" s="176" t="s">
        <v>226</v>
      </c>
      <c r="C30" s="176" t="s">
        <v>48</v>
      </c>
      <c r="D30" s="176" t="s">
        <v>229</v>
      </c>
      <c r="F30" s="176">
        <v>100000.0</v>
      </c>
      <c r="G30" s="176" t="str">
        <f>ARRAY_CONSTRAIN(ARRAYFORMULA(SUMPRODUCT((활동비지출일별내역!$B$7:$B$248=B30)*(활동비지출일별내역!#REF!=정산보고서!C30)*(활동비지출일별내역!$C$7:$C$248=정산보고서!D30)*활동비지출일별내역!#REF!)), 1, 1)</f>
        <v>#ERROR!</v>
      </c>
      <c r="H30" s="176" t="str">
        <f>ARRAY_CONSTRAIN(ARRAYFORMULA(SUMPRODUCT((활동비지출일별내역!$B$7:$B$248=B30)*(활동비지출일별내역!#REF!=정산보고서!C30)*(활동비지출일별내역!$C$7:$C$248=정산보고서!D30)*활동비지출일별내역!$G$7:$G$248)), 1, 1)</f>
        <v>#ERROR!</v>
      </c>
      <c r="I30" s="176" t="str">
        <f t="shared" si="6"/>
        <v>#ERROR!</v>
      </c>
      <c r="J30" s="176" t="str">
        <f t="shared" si="7"/>
        <v>#ERROR!</v>
      </c>
    </row>
    <row r="31" ht="16.5" customHeight="1">
      <c r="B31" s="176" t="s">
        <v>226</v>
      </c>
      <c r="C31" s="176" t="s">
        <v>205</v>
      </c>
      <c r="F31" s="176">
        <f>SUM(F28:F30)</f>
        <v>950000</v>
      </c>
      <c r="G31" s="176" t="str">
        <f>ARRAY_CONSTRAIN(ARRAYFORMULA(SUMPRODUCT((활동비지출일별내역!$B$7:$B$248=B31)*(활동비지출일별내역!#REF!=정산보고서!C31)*(활동비지출일별내역!$C$7:$C$248=정산보고서!D31)*활동비지출일별내역!#REF!)), 1, 1)</f>
        <v>#ERROR!</v>
      </c>
      <c r="H31" s="176" t="str">
        <f>ARRAY_CONSTRAIN(ARRAYFORMULA(SUMPRODUCT((활동비지출일별내역!$B$7:$B$248=B31)*(활동비지출일별내역!#REF!=정산보고서!C31)*(활동비지출일별내역!$C$7:$C$248=정산보고서!D31)*활동비지출일별내역!$G$7:$G$248)), 1, 1)</f>
        <v>#ERROR!</v>
      </c>
    </row>
    <row r="32" ht="16.5" customHeight="1">
      <c r="B32" s="176" t="s">
        <v>23</v>
      </c>
      <c r="C32" s="176" t="s">
        <v>230</v>
      </c>
      <c r="F32" s="176">
        <f>SUM(F31,F27,F20)</f>
        <v>28000000</v>
      </c>
      <c r="G32" s="176" t="str">
        <f t="shared" ref="G32:H32" si="8">SUM(G7:G31)</f>
        <v>#ERROR!</v>
      </c>
      <c r="H32" s="176" t="str">
        <f t="shared" si="8"/>
        <v>#ERROR!</v>
      </c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A$6:$K$32"/>
  <mergeCells count="2">
    <mergeCell ref="B1:B3"/>
    <mergeCell ref="B4:K4"/>
  </mergeCells>
  <dataValidations>
    <dataValidation type="list" allowBlank="1" showInputMessage="1" showErrorMessage="1" prompt="&lt;목록선택&gt; - 입력하지 마시고 목록에서 선택해주세요" sqref="C10">
      <formula1>#REF!</formula1>
    </dataValidation>
    <dataValidation type="list" allowBlank="1" showErrorMessage="1" sqref="B18:C18 B19 B21:B26 B28:B30">
      <formula1>관</formula1>
    </dataValidation>
    <dataValidation type="list" allowBlank="1" showInputMessage="1" showErrorMessage="1" prompt="&lt;목록선택&gt; - 입력하지 마시고 목록에서 선택해주세요" sqref="B10">
      <formula1>관</formula1>
    </dataValidation>
    <dataValidation type="list" allowBlank="1" showInputMessage="1" showErrorMessage="1" prompt="&lt;목록선택&gt; - 입력하지 마시고 목록에서 선택해주세요" sqref="D10">
      <formula1>INDIRECT(C10)</formula1>
    </dataValidation>
  </dataValidations>
  <printOptions/>
  <pageMargins bottom="0.35433070866141736" footer="0.0" header="0.0" left="0.1968503937007874" right="0.15748031496062992" top="0.31"/>
  <pageSetup paperSize="9" orientation="portrait"/>
  <headerFooter>
    <oddFooter>&amp;L재단법인 숲과나눔&amp;C&amp;P/&amp;R&amp;D&amp;T</oddFooter>
  </headerFooter>
  <rowBreaks count="1" manualBreakCount="1">
    <brk id="3" man="1"/>
  </rowBreaks>
  <colBreaks count="1" manualBreakCount="1">
    <brk id="1" man="1"/>
  </col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13.29"/>
    <col customWidth="1" min="3" max="3" width="9.43"/>
    <col customWidth="1" min="4" max="4" width="10.57"/>
    <col customWidth="1" min="5" max="5" width="13.43"/>
    <col customWidth="1" min="6" max="6" width="32.71"/>
    <col customWidth="1" min="7" max="7" width="14.0"/>
    <col customWidth="1" min="8" max="8" width="7.71"/>
    <col customWidth="1" min="9" max="9" width="8.86"/>
    <col customWidth="1" min="10" max="10" width="8.0"/>
    <col customWidth="1" min="11" max="11" width="21.43"/>
    <col customWidth="1" min="12" max="12" width="16.57"/>
    <col customWidth="1" min="13" max="13" width="14.14"/>
    <col customWidth="1" min="14" max="26" width="8.0"/>
  </cols>
  <sheetData>
    <row r="1" ht="33.75" customHeight="1">
      <c r="A1" s="3" t="s">
        <v>231</v>
      </c>
    </row>
    <row r="2" ht="20.25" customHeight="1"/>
    <row r="3" ht="16.5" customHeight="1"/>
    <row r="4" ht="27.75" customHeight="1">
      <c r="A4" s="3" t="s">
        <v>2</v>
      </c>
      <c r="C4" s="3"/>
      <c r="E4" s="176" t="s">
        <v>4</v>
      </c>
      <c r="G4" s="176" t="s">
        <v>6</v>
      </c>
      <c r="H4" s="3" t="s">
        <v>232</v>
      </c>
    </row>
    <row r="5" ht="27.75" customHeight="1">
      <c r="A5" s="3" t="s">
        <v>10</v>
      </c>
      <c r="C5" s="3"/>
    </row>
    <row r="6" ht="45.0" customHeight="1">
      <c r="A6" s="3" t="s">
        <v>233</v>
      </c>
      <c r="E6" s="3" t="s">
        <v>234</v>
      </c>
    </row>
    <row r="7" ht="15.0" customHeight="1">
      <c r="A7" s="3" t="s">
        <v>14</v>
      </c>
      <c r="D7" s="3" t="s">
        <v>16</v>
      </c>
      <c r="E7" s="3" t="s">
        <v>235</v>
      </c>
      <c r="F7" s="3" t="s">
        <v>17</v>
      </c>
      <c r="G7" s="3" t="s">
        <v>236</v>
      </c>
      <c r="H7" s="3" t="s">
        <v>237</v>
      </c>
      <c r="I7" s="3" t="s">
        <v>238</v>
      </c>
      <c r="J7" s="3" t="s">
        <v>239</v>
      </c>
      <c r="K7" s="3" t="s">
        <v>77</v>
      </c>
      <c r="L7" s="3" t="s">
        <v>18</v>
      </c>
      <c r="M7" s="3" t="s">
        <v>19</v>
      </c>
    </row>
    <row r="8" ht="21.0" customHeight="1">
      <c r="B8" s="176" t="s">
        <v>21</v>
      </c>
      <c r="C8" s="176" t="s">
        <v>22</v>
      </c>
      <c r="E8" s="3"/>
      <c r="F8" s="3"/>
      <c r="G8" s="3"/>
      <c r="H8" s="3"/>
      <c r="I8" s="3"/>
      <c r="J8" s="3"/>
      <c r="K8" s="3"/>
    </row>
    <row r="9" ht="49.5" customHeight="1">
      <c r="A9" s="3" t="s">
        <v>23</v>
      </c>
      <c r="B9" s="3" t="s">
        <v>24</v>
      </c>
      <c r="C9" s="3" t="s">
        <v>240</v>
      </c>
      <c r="D9" s="3">
        <v>700000.0</v>
      </c>
      <c r="E9" s="176" t="s">
        <v>241</v>
      </c>
      <c r="F9" s="176" t="s">
        <v>242</v>
      </c>
      <c r="G9" s="176" t="s">
        <v>243</v>
      </c>
      <c r="H9" s="176">
        <v>3.0</v>
      </c>
      <c r="I9" s="176" t="s">
        <v>244</v>
      </c>
      <c r="J9" s="176">
        <f t="shared" ref="J9:J18" si="1">G9*H9</f>
        <v>300000</v>
      </c>
      <c r="K9" s="176" t="s">
        <v>245</v>
      </c>
      <c r="L9" s="3">
        <f>SUM(J9:J11)</f>
        <v>570000</v>
      </c>
      <c r="M9" s="3">
        <f>D9-L9</f>
        <v>130000</v>
      </c>
    </row>
    <row r="10" ht="49.5" customHeight="1">
      <c r="E10" s="176" t="s">
        <v>246</v>
      </c>
      <c r="F10" s="176" t="s">
        <v>247</v>
      </c>
      <c r="G10" s="176" t="s">
        <v>248</v>
      </c>
      <c r="H10" s="176">
        <v>30.0</v>
      </c>
      <c r="I10" s="176" t="s">
        <v>249</v>
      </c>
      <c r="J10" s="176">
        <f t="shared" si="1"/>
        <v>120000</v>
      </c>
      <c r="K10" s="176" t="s">
        <v>250</v>
      </c>
    </row>
    <row r="11" ht="49.5" customHeight="1">
      <c r="E11" s="176" t="s">
        <v>251</v>
      </c>
      <c r="F11" s="176" t="s">
        <v>252</v>
      </c>
      <c r="G11" s="176" t="s">
        <v>253</v>
      </c>
      <c r="H11" s="176">
        <v>1.0</v>
      </c>
      <c r="I11" s="176" t="s">
        <v>249</v>
      </c>
      <c r="J11" s="176">
        <f t="shared" si="1"/>
        <v>150000</v>
      </c>
      <c r="K11" s="176" t="s">
        <v>254</v>
      </c>
    </row>
    <row r="12" ht="49.5" customHeight="1">
      <c r="C12" s="176" t="s">
        <v>25</v>
      </c>
      <c r="D12" s="176">
        <v>300000.0</v>
      </c>
      <c r="E12" s="176" t="s">
        <v>255</v>
      </c>
      <c r="F12" s="176" t="s">
        <v>256</v>
      </c>
      <c r="G12" s="176" t="s">
        <v>257</v>
      </c>
      <c r="H12" s="176">
        <v>20.0</v>
      </c>
      <c r="I12" s="176" t="s">
        <v>249</v>
      </c>
      <c r="J12" s="176">
        <f t="shared" si="1"/>
        <v>60000</v>
      </c>
      <c r="K12" s="176" t="s">
        <v>258</v>
      </c>
      <c r="L12" s="176">
        <f>J12</f>
        <v>60000</v>
      </c>
      <c r="M12" s="176">
        <f t="shared" ref="M12:M13" si="2">D12-L12</f>
        <v>240000</v>
      </c>
    </row>
    <row r="13" ht="49.5" customHeight="1">
      <c r="B13" s="3" t="s">
        <v>259</v>
      </c>
      <c r="D13" s="3">
        <v>900000.0</v>
      </c>
      <c r="E13" s="176" t="s">
        <v>260</v>
      </c>
      <c r="F13" s="176" t="s">
        <v>261</v>
      </c>
      <c r="G13" s="176" t="s">
        <v>243</v>
      </c>
      <c r="H13" s="176">
        <v>1.0</v>
      </c>
      <c r="I13" s="176" t="s">
        <v>262</v>
      </c>
      <c r="J13" s="176">
        <f t="shared" si="1"/>
        <v>100000</v>
      </c>
      <c r="K13" s="176" t="s">
        <v>263</v>
      </c>
      <c r="L13" s="3">
        <f>SUM(J13:J17)</f>
        <v>798500</v>
      </c>
      <c r="M13" s="3">
        <f t="shared" si="2"/>
        <v>101500</v>
      </c>
    </row>
    <row r="14" ht="49.5" customHeight="1">
      <c r="E14" s="176" t="s">
        <v>264</v>
      </c>
      <c r="F14" s="176" t="s">
        <v>265</v>
      </c>
      <c r="G14" s="176" t="s">
        <v>266</v>
      </c>
      <c r="H14" s="176">
        <v>1.0</v>
      </c>
      <c r="I14" s="176" t="s">
        <v>262</v>
      </c>
      <c r="J14" s="176">
        <f t="shared" si="1"/>
        <v>450000</v>
      </c>
      <c r="K14" s="176" t="s">
        <v>267</v>
      </c>
    </row>
    <row r="15" ht="49.5" customHeight="1">
      <c r="E15" s="176" t="s">
        <v>264</v>
      </c>
      <c r="F15" s="176" t="s">
        <v>268</v>
      </c>
      <c r="G15" s="176" t="s">
        <v>269</v>
      </c>
      <c r="H15" s="176">
        <v>1.0</v>
      </c>
      <c r="I15" s="176" t="s">
        <v>262</v>
      </c>
      <c r="J15" s="176">
        <f t="shared" si="1"/>
        <v>18500</v>
      </c>
      <c r="K15" s="176" t="s">
        <v>270</v>
      </c>
    </row>
    <row r="16" ht="49.5" customHeight="1">
      <c r="E16" s="176" t="s">
        <v>264</v>
      </c>
      <c r="F16" s="176" t="s">
        <v>271</v>
      </c>
      <c r="G16" s="176" t="s">
        <v>272</v>
      </c>
      <c r="H16" s="176">
        <v>100.0</v>
      </c>
      <c r="I16" s="176" t="s">
        <v>249</v>
      </c>
      <c r="J16" s="176">
        <f t="shared" si="1"/>
        <v>200000</v>
      </c>
    </row>
    <row r="17" ht="49.5" customHeight="1">
      <c r="E17" s="176" t="s">
        <v>273</v>
      </c>
      <c r="F17" s="176" t="s">
        <v>274</v>
      </c>
      <c r="G17" s="176" t="s">
        <v>275</v>
      </c>
      <c r="H17" s="176">
        <v>3.0</v>
      </c>
      <c r="I17" s="176" t="s">
        <v>249</v>
      </c>
      <c r="J17" s="176">
        <f t="shared" si="1"/>
        <v>30000</v>
      </c>
      <c r="K17" s="176" t="s">
        <v>276</v>
      </c>
    </row>
    <row r="18" ht="49.5" customHeight="1">
      <c r="B18" s="3" t="s">
        <v>36</v>
      </c>
      <c r="D18" s="176">
        <v>80000.0</v>
      </c>
      <c r="E18" s="176" t="s">
        <v>277</v>
      </c>
      <c r="F18" s="176" t="s">
        <v>278</v>
      </c>
      <c r="G18" s="176" t="s">
        <v>279</v>
      </c>
      <c r="H18" s="176">
        <v>1.0</v>
      </c>
      <c r="I18" s="176" t="s">
        <v>262</v>
      </c>
      <c r="J18" s="176">
        <f t="shared" si="1"/>
        <v>80000</v>
      </c>
      <c r="K18" s="176" t="s">
        <v>280</v>
      </c>
      <c r="L18" s="176">
        <f>J18</f>
        <v>80000</v>
      </c>
      <c r="M18" s="176">
        <f t="shared" ref="M18:M20" si="3">D18-L18</f>
        <v>0</v>
      </c>
    </row>
    <row r="19" ht="15.75" customHeight="1">
      <c r="A19" s="3" t="s">
        <v>47</v>
      </c>
      <c r="D19" s="176">
        <f>SUM(D7:D18)</f>
        <v>1980000</v>
      </c>
      <c r="E19" s="3" t="s">
        <v>47</v>
      </c>
      <c r="L19" s="176">
        <f>SUM(L9:L18)</f>
        <v>1508500</v>
      </c>
      <c r="M19" s="176">
        <f t="shared" si="3"/>
        <v>471500</v>
      </c>
    </row>
    <row r="20" ht="35.25" customHeight="1">
      <c r="A20" s="3" t="s">
        <v>48</v>
      </c>
      <c r="D20" s="3">
        <v>200000.0</v>
      </c>
      <c r="E20" s="176" t="s">
        <v>251</v>
      </c>
      <c r="F20" s="176" t="s">
        <v>281</v>
      </c>
      <c r="G20" s="176">
        <v>500.0</v>
      </c>
      <c r="H20" s="176">
        <v>1.0</v>
      </c>
      <c r="I20" s="176" t="s">
        <v>262</v>
      </c>
      <c r="J20" s="176">
        <f t="shared" ref="J20:J25" si="4">G20*H20</f>
        <v>500</v>
      </c>
      <c r="K20" s="176" t="s">
        <v>282</v>
      </c>
      <c r="L20" s="3">
        <f>SUM(J20:J25)</f>
        <v>200000</v>
      </c>
      <c r="M20" s="3">
        <f t="shared" si="3"/>
        <v>0</v>
      </c>
    </row>
    <row r="21" ht="35.25" customHeight="1">
      <c r="E21" s="176" t="s">
        <v>283</v>
      </c>
      <c r="F21" s="176" t="s">
        <v>284</v>
      </c>
      <c r="G21" s="176">
        <v>40000.0</v>
      </c>
      <c r="H21" s="176">
        <v>1.0</v>
      </c>
      <c r="I21" s="176" t="s">
        <v>262</v>
      </c>
      <c r="J21" s="176">
        <f t="shared" si="4"/>
        <v>40000</v>
      </c>
      <c r="K21" s="176" t="s">
        <v>285</v>
      </c>
    </row>
    <row r="22" ht="35.25" customHeight="1">
      <c r="E22" s="176" t="s">
        <v>286</v>
      </c>
      <c r="F22" s="176" t="s">
        <v>287</v>
      </c>
      <c r="G22" s="176">
        <v>99000.0</v>
      </c>
      <c r="H22" s="176">
        <v>1.0</v>
      </c>
      <c r="I22" s="176" t="s">
        <v>288</v>
      </c>
      <c r="J22" s="176">
        <f t="shared" si="4"/>
        <v>99000</v>
      </c>
      <c r="K22" s="176" t="s">
        <v>289</v>
      </c>
    </row>
    <row r="23" ht="35.25" customHeight="1">
      <c r="E23" s="176" t="s">
        <v>290</v>
      </c>
      <c r="F23" s="176" t="s">
        <v>281</v>
      </c>
      <c r="G23" s="176">
        <v>500.0</v>
      </c>
      <c r="H23" s="176">
        <v>1.0</v>
      </c>
      <c r="I23" s="176" t="s">
        <v>262</v>
      </c>
      <c r="J23" s="176">
        <f t="shared" si="4"/>
        <v>500</v>
      </c>
      <c r="K23" s="176" t="s">
        <v>282</v>
      </c>
    </row>
    <row r="24" ht="36.0" customHeight="1">
      <c r="E24" s="176" t="s">
        <v>291</v>
      </c>
      <c r="F24" s="176" t="s">
        <v>292</v>
      </c>
      <c r="G24" s="176">
        <v>35000.0</v>
      </c>
      <c r="H24" s="176">
        <v>1.0</v>
      </c>
      <c r="I24" s="176" t="s">
        <v>262</v>
      </c>
      <c r="J24" s="176">
        <f t="shared" si="4"/>
        <v>35000</v>
      </c>
      <c r="K24" s="176" t="s">
        <v>285</v>
      </c>
    </row>
    <row r="25" ht="36.0" customHeight="1">
      <c r="E25" s="176" t="s">
        <v>291</v>
      </c>
      <c r="F25" s="176" t="s">
        <v>293</v>
      </c>
      <c r="G25" s="176">
        <v>25000.0</v>
      </c>
      <c r="H25" s="176">
        <v>1.0</v>
      </c>
      <c r="I25" s="176" t="s">
        <v>262</v>
      </c>
      <c r="J25" s="176">
        <f t="shared" si="4"/>
        <v>25000</v>
      </c>
      <c r="K25" s="176" t="s">
        <v>294</v>
      </c>
    </row>
    <row r="26" ht="24.0" customHeight="1">
      <c r="A26" s="3" t="s">
        <v>49</v>
      </c>
      <c r="D26" s="176">
        <f>SUM(D9:D24)-D19</f>
        <v>2180000</v>
      </c>
      <c r="E26" s="3" t="s">
        <v>295</v>
      </c>
      <c r="L26" s="176">
        <f>SUM(L20,L19)</f>
        <v>1708500</v>
      </c>
      <c r="M26" s="176">
        <f>D26-L26</f>
        <v>471500</v>
      </c>
    </row>
    <row r="27" ht="41.25" customHeight="1">
      <c r="A27" s="3" t="s">
        <v>52</v>
      </c>
      <c r="D27" s="176">
        <v>2300.0</v>
      </c>
      <c r="L27" s="176" t="s">
        <v>56</v>
      </c>
      <c r="M27" s="176">
        <f>M26+D27</f>
        <v>473800</v>
      </c>
    </row>
    <row r="28" ht="233.25" customHeight="1">
      <c r="A28" s="3" t="s">
        <v>296</v>
      </c>
    </row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$E$7:$K$8"/>
  <mergeCells count="33">
    <mergeCell ref="A1:M3"/>
    <mergeCell ref="A4:B4"/>
    <mergeCell ref="C4:D4"/>
    <mergeCell ref="H4:M4"/>
    <mergeCell ref="A5:B5"/>
    <mergeCell ref="C5:M5"/>
    <mergeCell ref="E6:M6"/>
    <mergeCell ref="C9:C11"/>
    <mergeCell ref="D9:D11"/>
    <mergeCell ref="L9:L11"/>
    <mergeCell ref="M9:M11"/>
    <mergeCell ref="B13:C17"/>
    <mergeCell ref="D13:D17"/>
    <mergeCell ref="L13:L17"/>
    <mergeCell ref="M13:M17"/>
    <mergeCell ref="L20:L25"/>
    <mergeCell ref="M20:M25"/>
    <mergeCell ref="B18:C18"/>
    <mergeCell ref="A19:C19"/>
    <mergeCell ref="A20:C25"/>
    <mergeCell ref="D20:D25"/>
    <mergeCell ref="A26:C26"/>
    <mergeCell ref="E26:K27"/>
    <mergeCell ref="A27:C27"/>
    <mergeCell ref="A28:M28"/>
    <mergeCell ref="A6:D6"/>
    <mergeCell ref="A7:C7"/>
    <mergeCell ref="D7:D8"/>
    <mergeCell ref="L7:L8"/>
    <mergeCell ref="M7:M8"/>
    <mergeCell ref="A9:A18"/>
    <mergeCell ref="B9:B12"/>
    <mergeCell ref="E19:K19"/>
  </mergeCells>
  <printOptions/>
  <pageMargins bottom="0.3937007874015748" footer="0.0" header="0.0" left="0.3937007874015748" right="0.3937007874015748" top="0.3937007874015748"/>
  <pageSetup paperSize="9" scale="50" orientation="portrait"/>
  <headerFooter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2021-08-04T06:08:33Z</dcterms:created>
  <dc:creator>Windows 사용자</dc:creator>
</cp:coreProperties>
</file>