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 문항" sheetId="1" r:id="rId5"/>
    <sheet state="visible" name="포스터 익명화" sheetId="2" r:id="rId6"/>
  </sheets>
  <definedNames>
    <definedName hidden="1" localSheetId="1" name="_xlnm._FilterDatabase">'포스터 익명화'!$A$1:$AB$19</definedName>
  </definedNames>
  <calcPr/>
</workbook>
</file>

<file path=xl/sharedStrings.xml><?xml version="1.0" encoding="utf-8"?>
<sst xmlns="http://schemas.openxmlformats.org/spreadsheetml/2006/main" count="133" uniqueCount="101">
  <si>
    <t>#</t>
  </si>
  <si>
    <t>Section</t>
  </si>
  <si>
    <t>Type</t>
  </si>
  <si>
    <t>Question / Title</t>
  </si>
  <si>
    <t>Description</t>
  </si>
  <si>
    <t>Options</t>
  </si>
  <si>
    <t>비고</t>
  </si>
  <si>
    <t>Intro</t>
  </si>
  <si>
    <t>Info</t>
  </si>
  <si>
    <t>포스터 평가 설문 안내</t>
  </si>
  <si>
    <t>안녕하세요. 본 설문은 홍익대학교 시각디자인과 학생들이 안심이 프로젝트의 주제인 재난 안전 정보와 관련하여 코드포코리아 블로그 게시를 위해 제작한 A3 포스터 작품을 평가하기 위한 심사 설문입니다. 학생들은 하나의 포스터 안에서 다양한 정보를 시각적으로 정리하고 전달하는 것을 목표로 작업했습니다. 포스터에 포함된 정보의 내용 자체는 수업에서 제공된 것이므로 내용의 타당성이나 정확성보다는 디자인과 정보 전달 방식 중심으로 평가해 주시기 바랍니다. 포스터는 재난 취약 계층인 외국인 / 발달장애인 및 보호자 / 반려동물 동반자를 대상으로 제작되었습니다. 설문은 (1) 우수 포스터 5개 선정 → (2) 5개 포스터에 대한 세부 평가 순서로 진행됩니다. 설문 답변 소요 예상 시간은 10~15분입니다. 
문의: 코드포코리아 디스코드 #안심이 채널 또는 ansim@codefor.kr</t>
  </si>
  <si>
    <t>Section 1</t>
  </si>
  <si>
    <t>Instruction</t>
  </si>
  <si>
    <t>전체 포스터 확인</t>
  </si>
  <si>
    <t>먼저 전체 포스터를 확인한 후 가장 우수하다고 생각하는 포스터 5개를 선택해 주세요.</t>
  </si>
  <si>
    <t>Checkbox</t>
  </si>
  <si>
    <t>가장 우수한 포스터 5개 선택</t>
  </si>
  <si>
    <t>전체 포스터 중 가장 우수하다고 생각하는 포스터 5개를 선택해주세요.</t>
  </si>
  <si>
    <t>포스터 18개 모두 제시</t>
  </si>
  <si>
    <t>Section 2</t>
  </si>
  <si>
    <t>선택한 포스터 평가</t>
  </si>
  <si>
    <t>선택한 5개의 포스터 중 [N번 포스터]를 다음 기준에 따라 평가해 주세요. 각 문항은 5점 척도입니다. (1: 전혀 그렇지 않다 - 5: 매우 그렇다)</t>
  </si>
  <si>
    <t>Evaluation</t>
  </si>
  <si>
    <t>Likert</t>
  </si>
  <si>
    <t>Q1. 명확성 및 가독성</t>
  </si>
  <si>
    <t>이 포스터는 한눈에 보기 편하고 글자가 잘 읽히나요?</t>
  </si>
  <si>
    <t>1: 전혀 그렇지 않다 - 5: 매우 그렇다</t>
  </si>
  <si>
    <t>선정한 5개 포스터 반복</t>
  </si>
  <si>
    <t>Q2. 대상 독자 고려</t>
  </si>
  <si>
    <t>이 포스터는 대상 독자(외국인, 발달장애인 및 보호자, 반려동물 동반자)를 고려해 디자인된 것처럼 보이나요?</t>
  </si>
  <si>
    <t>Q3. 스타일 적절성</t>
  </si>
  <si>
    <t>색상, 글씨체, 이미지 등의 스타일이 주제와 잘 어울리고 조화롭게 보이나요?</t>
  </si>
  <si>
    <t>Q4. 정보 구조</t>
  </si>
  <si>
    <t>정보의 구성과 배치가 논리적이고 이해하기 쉬운가요?</t>
  </si>
  <si>
    <t>Q5. 콘셉트 독창성</t>
  </si>
  <si>
    <t>다른 포스터와 비교했을 때 인상에 남거나 차별성이 느껴지나요?</t>
  </si>
  <si>
    <t>Q6. 기술적 완성도</t>
  </si>
  <si>
    <t>해상도, 정렬, 여백 등 기술적 완성도가 높아 보이나요?</t>
  </si>
  <si>
    <t>ID</t>
  </si>
  <si>
    <t>파일명</t>
  </si>
  <si>
    <t>대상(영어)</t>
  </si>
  <si>
    <t>대상(한국어)</t>
  </si>
  <si>
    <t>URL(PDF)</t>
  </si>
  <si>
    <t>URL(jpg)</t>
  </si>
  <si>
    <t>P1</t>
  </si>
  <si>
    <r>
      <rPr>
        <color rgb="FF1155CC"/>
        <u/>
      </rPr>
      <t>Anastasia Isakova (foreigners).pdf</t>
    </r>
  </si>
  <si>
    <t>외국인</t>
  </si>
  <si>
    <t>Anastasia Isakova (foreigners).pdf</t>
  </si>
  <si>
    <t>P2</t>
  </si>
  <si>
    <r>
      <rPr>
        <color rgb="FF1155CC"/>
        <u/>
      </rPr>
      <t>Benjamin Dussoulier (foreigners).pdf</t>
    </r>
  </si>
  <si>
    <t>Benjamin Dussoulier (foreigners).pdf</t>
  </si>
  <si>
    <t>P5</t>
  </si>
  <si>
    <r>
      <rPr>
        <color rgb="FF1155CC"/>
        <u/>
      </rPr>
      <t>Su I. Tengiz (foreigners).pdf</t>
    </r>
  </si>
  <si>
    <t>Su I. Tengiz (foreigners).pdf</t>
  </si>
  <si>
    <t>P6</t>
  </si>
  <si>
    <r>
      <rPr>
        <color rgb="FF1155CC"/>
        <u/>
      </rPr>
      <t>권소윤 (foreigners).pdf</t>
    </r>
  </si>
  <si>
    <t>권소윤 (foreigners).pdf</t>
  </si>
  <si>
    <t>P7</t>
  </si>
  <si>
    <r>
      <rPr>
        <color rgb="FF1155CC"/>
        <u/>
      </rPr>
      <t>김하나 (foreigners).pdf</t>
    </r>
  </si>
  <si>
    <t>김하나 (foreigners).pdf</t>
  </si>
  <si>
    <t>P8</t>
  </si>
  <si>
    <r>
      <rPr>
        <color rgb="FF1155CC"/>
        <u/>
      </rPr>
      <t>김혜연 (foreigners).pdf</t>
    </r>
  </si>
  <si>
    <t>김혜연 (foreigners).pdf</t>
  </si>
  <si>
    <t>P10</t>
  </si>
  <si>
    <r>
      <rPr>
        <color rgb="FF1155CC"/>
        <u/>
      </rPr>
      <t>배준서 (foreigners).pdf</t>
    </r>
  </si>
  <si>
    <t>배준서 (foreigners).pdf</t>
  </si>
  <si>
    <t>P11</t>
  </si>
  <si>
    <r>
      <rPr>
        <color rgb="FF1155CC"/>
        <u/>
      </rPr>
      <t>신명은 (foreigners).pdf</t>
    </r>
  </si>
  <si>
    <t>신명은 (foreigners).pdf</t>
  </si>
  <si>
    <t>P13</t>
  </si>
  <si>
    <r>
      <rPr>
        <color rgb="FF1155CC"/>
        <u/>
      </rPr>
      <t>유정연 (foreigners).pdf</t>
    </r>
  </si>
  <si>
    <t>유정연 (foreigners).pdf</t>
  </si>
  <si>
    <t>P14</t>
  </si>
  <si>
    <r>
      <rPr>
        <color rgb="FF1155CC"/>
        <u/>
      </rPr>
      <t>이서윤 (foreigners).pdf</t>
    </r>
  </si>
  <si>
    <t>이서윤 (foreigners).pdf</t>
  </si>
  <si>
    <t>P15</t>
  </si>
  <si>
    <r>
      <rPr>
        <color rgb="FF1155CC"/>
        <u/>
      </rPr>
      <t>이주미 (foreigners).pdf</t>
    </r>
  </si>
  <si>
    <t>이주미 (foreigners).pdf</t>
  </si>
  <si>
    <t>P3</t>
  </si>
  <si>
    <r>
      <rPr>
        <color rgb="FF1155CC"/>
        <u/>
      </rPr>
      <t>Caitlyn Chew Su'en (people with developmental disabilities, carers).pdf</t>
    </r>
  </si>
  <si>
    <t>발달장애인 및 보호자</t>
  </si>
  <si>
    <t>Caitlyn Chew Su'en (people with developmental disabilities, carers).pdf</t>
  </si>
  <si>
    <t>P12</t>
  </si>
  <si>
    <r>
      <rPr>
        <color rgb="FF1155CC"/>
        <u/>
      </rPr>
      <t>안도영 (people with developmental disabilities, carers).pdf</t>
    </r>
  </si>
  <si>
    <t>안도영 (people with developmental disabilities, carers).pdf</t>
  </si>
  <si>
    <t>P4</t>
  </si>
  <si>
    <r>
      <rPr>
        <color rgb="FF1155CC"/>
        <u/>
      </rPr>
      <t>Keungyoung Myung (people with pets).pdf</t>
    </r>
  </si>
  <si>
    <t>반려동물 동반자</t>
  </si>
  <si>
    <t>Keungyoung Myung (people with pets).pdf</t>
  </si>
  <si>
    <t>P9</t>
  </si>
  <si>
    <r>
      <rPr>
        <color rgb="FF1155CC"/>
        <u/>
      </rPr>
      <t>박경민 (people with pets).pdf</t>
    </r>
  </si>
  <si>
    <t>박경민 (people with pets).pdf</t>
  </si>
  <si>
    <t>P16</t>
  </si>
  <si>
    <r>
      <rPr>
        <color rgb="FF1155CC"/>
        <u/>
      </rPr>
      <t>이채윤 (people with pets).pdf</t>
    </r>
  </si>
  <si>
    <t>이채윤 (people with pets).pdf</t>
  </si>
  <si>
    <t>P17</t>
  </si>
  <si>
    <r>
      <rPr>
        <color rgb="FF1155CC"/>
        <u/>
      </rPr>
      <t>이효담 (people with pets).pdf</t>
    </r>
  </si>
  <si>
    <t>이효담 (people with pets).pdf</t>
  </si>
  <si>
    <t>P18</t>
  </si>
  <si>
    <r>
      <rPr>
        <color rgb="FF1155CC"/>
        <u/>
      </rPr>
      <t>전다현 (people with pets).pdf</t>
    </r>
  </si>
  <si>
    <t>전다현 (people with pets).pdf</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</si>
</sst>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xf>
    <xf borderId="0" fillId="0" fontId="1" numFmtId="0" xfId="0" applyFont="1"/>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open?id=1Ue_m9-VfkXwqHRC4iyZNbUX5EGUGpbZO&amp;usp=drive_copy" TargetMode="External"/><Relationship Id="rId22" Type="http://schemas.openxmlformats.org/officeDocument/2006/relationships/hyperlink" Target="https://drive.google.com/open?id=1UJdUDdiKtRw-CRmWY8lARdZTesqLcGhh&amp;usp=drive_copy" TargetMode="External"/><Relationship Id="rId21" Type="http://schemas.openxmlformats.org/officeDocument/2006/relationships/hyperlink" Target="https://drive.google.com/open?id=1UJdUDdiKtRw-CRmWY8lARdZTesqLcGhh&amp;usp=drive_copy" TargetMode="External"/><Relationship Id="rId24" Type="http://schemas.openxmlformats.org/officeDocument/2006/relationships/hyperlink" Target="https://drive.google.com/open?id=1EMK7_1XwnpGb50I7mtf_Z3ejIS_KQmW0&amp;usp=drive_copy" TargetMode="External"/><Relationship Id="rId23" Type="http://schemas.openxmlformats.org/officeDocument/2006/relationships/hyperlink" Target="https://drive.google.com/open?id=1EMK7_1XwnpGb50I7mtf_Z3ejIS_KQmW0&amp;usp=drive_copy" TargetMode="External"/><Relationship Id="rId1" Type="http://schemas.openxmlformats.org/officeDocument/2006/relationships/hyperlink" Target="https://drive.google.com/open?id=1ut5EUK0LvwSkMgAsLUh3NWd7vhXAf0KA&amp;usp=drive_copy" TargetMode="External"/><Relationship Id="rId2" Type="http://schemas.openxmlformats.org/officeDocument/2006/relationships/hyperlink" Target="https://drive.google.com/open?id=1ut5EUK0LvwSkMgAsLUh3NWd7vhXAf0KA&amp;usp=drive_copy" TargetMode="External"/><Relationship Id="rId3" Type="http://schemas.openxmlformats.org/officeDocument/2006/relationships/hyperlink" Target="https://drive.google.com/open?id=1m2e2WqK_XMwlZepxf1vxI8aQXPI9WSR5&amp;usp=drive_copy" TargetMode="External"/><Relationship Id="rId4" Type="http://schemas.openxmlformats.org/officeDocument/2006/relationships/hyperlink" Target="https://drive.google.com/open?id=1m2e2WqK_XMwlZepxf1vxI8aQXPI9WSR5&amp;usp=drive_copy" TargetMode="External"/><Relationship Id="rId9" Type="http://schemas.openxmlformats.org/officeDocument/2006/relationships/hyperlink" Target="https://drive.google.com/open?id=1Eqp6QA42B6znMpfaENjft3ULybDAME08&amp;usp=drive_copy" TargetMode="External"/><Relationship Id="rId26" Type="http://schemas.openxmlformats.org/officeDocument/2006/relationships/hyperlink" Target="https://drive.google.com/open?id=1F78kWMs1lz1S6vm3fNZd1lXQrPQx3edK&amp;usp=drive_copy" TargetMode="External"/><Relationship Id="rId25" Type="http://schemas.openxmlformats.org/officeDocument/2006/relationships/hyperlink" Target="https://drive.google.com/open?id=1F78kWMs1lz1S6vm3fNZd1lXQrPQx3edK&amp;usp=drive_copy" TargetMode="External"/><Relationship Id="rId28" Type="http://schemas.openxmlformats.org/officeDocument/2006/relationships/hyperlink" Target="https://drive.google.com/open?id=1EZo0myaoDs9q6WLlJWvbnBM3b2-xHPrZ&amp;usp=drive_copy" TargetMode="External"/><Relationship Id="rId27" Type="http://schemas.openxmlformats.org/officeDocument/2006/relationships/hyperlink" Target="https://drive.google.com/open?id=1EZo0myaoDs9q6WLlJWvbnBM3b2-xHPrZ&amp;usp=drive_copy" TargetMode="External"/><Relationship Id="rId5" Type="http://schemas.openxmlformats.org/officeDocument/2006/relationships/hyperlink" Target="https://drive.google.com/open?id=14Ezn6c2lT5mLRb3InK4W8M5p16vEzaNF&amp;usp=drive_copy" TargetMode="External"/><Relationship Id="rId6" Type="http://schemas.openxmlformats.org/officeDocument/2006/relationships/hyperlink" Target="https://drive.google.com/open?id=14Ezn6c2lT5mLRb3InK4W8M5p16vEzaNF&amp;usp=drive_copy" TargetMode="External"/><Relationship Id="rId29" Type="http://schemas.openxmlformats.org/officeDocument/2006/relationships/hyperlink" Target="https://drive.google.com/open?id=1PNE-zWkYDhYIgGajZ67TeY79MyU-k7LS&amp;usp=drive_copy" TargetMode="External"/><Relationship Id="rId7" Type="http://schemas.openxmlformats.org/officeDocument/2006/relationships/hyperlink" Target="https://drive.google.com/open?id=11hEXtHrcSfAPDVjQ1occQQpcWwWn3pGl&amp;usp=drive_copy" TargetMode="External"/><Relationship Id="rId8" Type="http://schemas.openxmlformats.org/officeDocument/2006/relationships/hyperlink" Target="https://drive.google.com/open?id=11hEXtHrcSfAPDVjQ1occQQpcWwWn3pGl&amp;usp=drive_copy" TargetMode="External"/><Relationship Id="rId31" Type="http://schemas.openxmlformats.org/officeDocument/2006/relationships/hyperlink" Target="https://drive.google.com/open?id=1MAsjr342sj6Uf8YRkgoAmFXuCdMMvLRk&amp;usp=drive_copy" TargetMode="External"/><Relationship Id="rId30" Type="http://schemas.openxmlformats.org/officeDocument/2006/relationships/hyperlink" Target="https://drive.google.com/open?id=1PNE-zWkYDhYIgGajZ67TeY79MyU-k7LS&amp;usp=drive_copy" TargetMode="External"/><Relationship Id="rId11" Type="http://schemas.openxmlformats.org/officeDocument/2006/relationships/hyperlink" Target="https://drive.google.com/open?id=1eOGj8V65a141lOxhCuUIwW8B9jyk8gXK&amp;usp=drive_copy" TargetMode="External"/><Relationship Id="rId33" Type="http://schemas.openxmlformats.org/officeDocument/2006/relationships/hyperlink" Target="https://drive.google.com/open?id=1copTYRxZWtKsmn-fm4DQFmPNSNibfUs1&amp;usp=drive_copy" TargetMode="External"/><Relationship Id="rId10" Type="http://schemas.openxmlformats.org/officeDocument/2006/relationships/hyperlink" Target="https://drive.google.com/open?id=1Eqp6QA42B6znMpfaENjft3ULybDAME08&amp;usp=drive_copy" TargetMode="External"/><Relationship Id="rId32" Type="http://schemas.openxmlformats.org/officeDocument/2006/relationships/hyperlink" Target="https://drive.google.com/open?id=1MAsjr342sj6Uf8YRkgoAmFXuCdMMvLRk&amp;usp=drive_copy" TargetMode="External"/><Relationship Id="rId13" Type="http://schemas.openxmlformats.org/officeDocument/2006/relationships/hyperlink" Target="https://drive.google.com/open?id=10xhdzo3UHcIBOAK0eD8sz4BdMzMipxkB&amp;usp=drive_copy" TargetMode="External"/><Relationship Id="rId35" Type="http://schemas.openxmlformats.org/officeDocument/2006/relationships/hyperlink" Target="https://drive.google.com/open?id=1_nXxOdpvaU832pn8dgf0mMCDlHH_zIsH&amp;usp=drive_copy" TargetMode="External"/><Relationship Id="rId12" Type="http://schemas.openxmlformats.org/officeDocument/2006/relationships/hyperlink" Target="https://drive.google.com/open?id=1eOGj8V65a141lOxhCuUIwW8B9jyk8gXK&amp;usp=drive_copy" TargetMode="External"/><Relationship Id="rId34" Type="http://schemas.openxmlformats.org/officeDocument/2006/relationships/hyperlink" Target="https://drive.google.com/open?id=1copTYRxZWtKsmn-fm4DQFmPNSNibfUs1&amp;usp=drive_copy" TargetMode="External"/><Relationship Id="rId15" Type="http://schemas.openxmlformats.org/officeDocument/2006/relationships/hyperlink" Target="https://drive.google.com/open?id=1F_hzTvk3adqSlymYS6_S8VZ4MFQ9Msv9&amp;usp=drive_copy" TargetMode="External"/><Relationship Id="rId37" Type="http://schemas.openxmlformats.org/officeDocument/2006/relationships/drawing" Target="../drawings/drawing2.xml"/><Relationship Id="rId14" Type="http://schemas.openxmlformats.org/officeDocument/2006/relationships/hyperlink" Target="https://drive.google.com/open?id=10xhdzo3UHcIBOAK0eD8sz4BdMzMipxkB&amp;usp=drive_copy" TargetMode="External"/><Relationship Id="rId36" Type="http://schemas.openxmlformats.org/officeDocument/2006/relationships/hyperlink" Target="https://drive.google.com/open?id=1_nXxOdpvaU832pn8dgf0mMCDlHH_zIsH&amp;usp=drive_copy" TargetMode="External"/><Relationship Id="rId17" Type="http://schemas.openxmlformats.org/officeDocument/2006/relationships/hyperlink" Target="https://drive.google.com/open?id=1kVBngb6e7K_HKsNUSR-vbJrZnMjzppVn&amp;usp=drive_copy" TargetMode="External"/><Relationship Id="rId16" Type="http://schemas.openxmlformats.org/officeDocument/2006/relationships/hyperlink" Target="https://drive.google.com/open?id=1F_hzTvk3adqSlymYS6_S8VZ4MFQ9Msv9&amp;usp=drive_copy" TargetMode="External"/><Relationship Id="rId19" Type="http://schemas.openxmlformats.org/officeDocument/2006/relationships/hyperlink" Target="https://drive.google.com/open?id=1Ue_m9-VfkXwqHRC4iyZNbUX5EGUGpbZO&amp;usp=drive_copy" TargetMode="External"/><Relationship Id="rId18" Type="http://schemas.openxmlformats.org/officeDocument/2006/relationships/hyperlink" Target="https://drive.google.com/open?id=1kVBngb6e7K_HKsNUSR-vbJrZnMjzppVn&amp;usp=drive_cop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4" max="4" width="22.13"/>
    <col customWidth="1" min="5" max="5" width="47.38"/>
    <col customWidth="1" min="6" max="6" width="29.75"/>
  </cols>
  <sheetData>
    <row r="1">
      <c r="A1" s="1" t="s">
        <v>0</v>
      </c>
      <c r="B1" s="1" t="s">
        <v>1</v>
      </c>
      <c r="C1" s="1" t="s">
        <v>2</v>
      </c>
      <c r="D1" s="1" t="s">
        <v>3</v>
      </c>
      <c r="E1" s="2" t="s">
        <v>4</v>
      </c>
      <c r="F1" s="1" t="s">
        <v>5</v>
      </c>
      <c r="G1" s="2" t="s">
        <v>6</v>
      </c>
    </row>
    <row r="2">
      <c r="A2" s="3">
        <v>1.0</v>
      </c>
      <c r="B2" s="3" t="s">
        <v>7</v>
      </c>
      <c r="C2" s="3" t="s">
        <v>8</v>
      </c>
      <c r="D2" s="3" t="s">
        <v>9</v>
      </c>
      <c r="E2" s="4" t="s">
        <v>10</v>
      </c>
      <c r="G2" s="5"/>
    </row>
    <row r="3">
      <c r="A3" s="3">
        <v>2.0</v>
      </c>
      <c r="B3" s="3" t="s">
        <v>11</v>
      </c>
      <c r="C3" s="3" t="s">
        <v>12</v>
      </c>
      <c r="D3" s="3" t="s">
        <v>13</v>
      </c>
      <c r="E3" s="4" t="s">
        <v>14</v>
      </c>
      <c r="G3" s="5"/>
    </row>
    <row r="4">
      <c r="A4" s="3">
        <v>3.0</v>
      </c>
      <c r="B4" s="3" t="s">
        <v>11</v>
      </c>
      <c r="C4" s="3" t="s">
        <v>15</v>
      </c>
      <c r="D4" s="3" t="s">
        <v>16</v>
      </c>
      <c r="E4" s="4" t="s">
        <v>17</v>
      </c>
      <c r="F4" s="3"/>
      <c r="G4" s="4" t="s">
        <v>18</v>
      </c>
    </row>
    <row r="5">
      <c r="A5" s="3">
        <v>4.0</v>
      </c>
      <c r="B5" s="3" t="s">
        <v>19</v>
      </c>
      <c r="C5" s="3" t="s">
        <v>12</v>
      </c>
      <c r="D5" s="3" t="s">
        <v>20</v>
      </c>
      <c r="E5" s="4" t="s">
        <v>21</v>
      </c>
      <c r="G5" s="5"/>
    </row>
    <row r="6">
      <c r="A6" s="3">
        <v>5.0</v>
      </c>
      <c r="B6" s="3" t="s">
        <v>22</v>
      </c>
      <c r="C6" s="3" t="s">
        <v>23</v>
      </c>
      <c r="D6" s="3" t="s">
        <v>24</v>
      </c>
      <c r="E6" s="4" t="s">
        <v>25</v>
      </c>
      <c r="F6" s="3" t="s">
        <v>26</v>
      </c>
      <c r="G6" s="6" t="s">
        <v>27</v>
      </c>
    </row>
    <row r="7">
      <c r="A7" s="3">
        <v>6.0</v>
      </c>
      <c r="B7" s="3" t="s">
        <v>22</v>
      </c>
      <c r="C7" s="3" t="s">
        <v>23</v>
      </c>
      <c r="D7" s="3" t="s">
        <v>28</v>
      </c>
      <c r="E7" s="4" t="s">
        <v>29</v>
      </c>
      <c r="F7" s="3" t="s">
        <v>26</v>
      </c>
    </row>
    <row r="8">
      <c r="A8" s="3">
        <v>7.0</v>
      </c>
      <c r="B8" s="3" t="s">
        <v>22</v>
      </c>
      <c r="C8" s="3" t="s">
        <v>23</v>
      </c>
      <c r="D8" s="3" t="s">
        <v>30</v>
      </c>
      <c r="E8" s="4" t="s">
        <v>31</v>
      </c>
      <c r="F8" s="3" t="s">
        <v>26</v>
      </c>
    </row>
    <row r="9">
      <c r="A9" s="3">
        <v>8.0</v>
      </c>
      <c r="B9" s="3" t="s">
        <v>22</v>
      </c>
      <c r="C9" s="3" t="s">
        <v>23</v>
      </c>
      <c r="D9" s="3" t="s">
        <v>32</v>
      </c>
      <c r="E9" s="4" t="s">
        <v>33</v>
      </c>
      <c r="F9" s="3" t="s">
        <v>26</v>
      </c>
    </row>
    <row r="10">
      <c r="A10" s="3">
        <v>9.0</v>
      </c>
      <c r="B10" s="3" t="s">
        <v>22</v>
      </c>
      <c r="C10" s="3" t="s">
        <v>23</v>
      </c>
      <c r="D10" s="3" t="s">
        <v>34</v>
      </c>
      <c r="E10" s="4" t="s">
        <v>35</v>
      </c>
      <c r="F10" s="3" t="s">
        <v>26</v>
      </c>
    </row>
    <row r="11">
      <c r="A11" s="3">
        <v>10.0</v>
      </c>
      <c r="B11" s="3" t="s">
        <v>22</v>
      </c>
      <c r="C11" s="3" t="s">
        <v>23</v>
      </c>
      <c r="D11" s="3" t="s">
        <v>36</v>
      </c>
      <c r="E11" s="4" t="s">
        <v>37</v>
      </c>
      <c r="F11" s="3" t="s">
        <v>26</v>
      </c>
    </row>
  </sheetData>
  <mergeCells count="1">
    <mergeCell ref="G6:G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18.75"/>
  </cols>
  <sheetData>
    <row r="1">
      <c r="A1" s="1" t="s">
        <v>38</v>
      </c>
      <c r="B1" s="1" t="s">
        <v>39</v>
      </c>
      <c r="C1" s="1" t="s">
        <v>40</v>
      </c>
      <c r="D1" s="7" t="s">
        <v>41</v>
      </c>
      <c r="E1" s="1" t="s">
        <v>42</v>
      </c>
      <c r="F1" s="1" t="s">
        <v>43</v>
      </c>
      <c r="G1" s="8"/>
      <c r="H1" s="7"/>
      <c r="J1" s="8"/>
      <c r="K1" s="8"/>
      <c r="L1" s="8"/>
      <c r="M1" s="8"/>
      <c r="N1" s="8"/>
      <c r="O1" s="8"/>
      <c r="P1" s="8"/>
      <c r="Q1" s="8"/>
      <c r="R1" s="8"/>
      <c r="S1" s="8"/>
      <c r="T1" s="8"/>
      <c r="U1" s="8"/>
      <c r="V1" s="8"/>
      <c r="W1" s="8"/>
      <c r="X1" s="8"/>
      <c r="Y1" s="8"/>
      <c r="Z1" s="8"/>
      <c r="AA1" s="8"/>
      <c r="AB1" s="8"/>
    </row>
    <row r="2">
      <c r="A2" s="3" t="s">
        <v>44</v>
      </c>
      <c r="B2" s="9" t="s">
        <v>45</v>
      </c>
      <c r="C2" s="3" t="str">
        <f>IFERROR(__xludf.DUMMYFUNCTION("REGEXEXTRACT(TO_TEXT(B2), ""\((.*?)\)"")"),"foreigners")</f>
        <v>foreigners</v>
      </c>
      <c r="D2" s="3" t="s">
        <v>46</v>
      </c>
      <c r="E2" s="10" t="s">
        <v>47</v>
      </c>
    </row>
    <row r="3">
      <c r="A3" s="3" t="s">
        <v>48</v>
      </c>
      <c r="B3" s="9" t="s">
        <v>49</v>
      </c>
      <c r="C3" s="3" t="str">
        <f>IFERROR(__xludf.DUMMYFUNCTION("REGEXEXTRACT(TO_TEXT(B3), ""\((.*?)\)"")"),"foreigners")</f>
        <v>foreigners</v>
      </c>
      <c r="D3" s="3" t="s">
        <v>46</v>
      </c>
      <c r="E3" s="10" t="s">
        <v>50</v>
      </c>
    </row>
    <row r="4">
      <c r="A4" s="3" t="s">
        <v>51</v>
      </c>
      <c r="B4" s="9" t="s">
        <v>52</v>
      </c>
      <c r="C4" s="3" t="str">
        <f>IFERROR(__xludf.DUMMYFUNCTION("REGEXEXTRACT(TO_TEXT(B4), ""\((.*?)\)"")"),"foreigners")</f>
        <v>foreigners</v>
      </c>
      <c r="D4" s="3" t="s">
        <v>46</v>
      </c>
      <c r="E4" s="10" t="s">
        <v>53</v>
      </c>
    </row>
    <row r="5">
      <c r="A5" s="3" t="s">
        <v>54</v>
      </c>
      <c r="B5" s="9" t="s">
        <v>55</v>
      </c>
      <c r="C5" s="3" t="str">
        <f>IFERROR(__xludf.DUMMYFUNCTION("REGEXEXTRACT(TO_TEXT(B5), ""\((.*?)\)"")"),"foreigners")</f>
        <v>foreigners</v>
      </c>
      <c r="D5" s="3" t="s">
        <v>46</v>
      </c>
      <c r="E5" s="10" t="s">
        <v>56</v>
      </c>
    </row>
    <row r="6">
      <c r="A6" s="3" t="s">
        <v>57</v>
      </c>
      <c r="B6" s="9" t="s">
        <v>58</v>
      </c>
      <c r="C6" s="3" t="str">
        <f>IFERROR(__xludf.DUMMYFUNCTION("REGEXEXTRACT(TO_TEXT(B6), ""\((.*?)\)"")"),"foreigners")</f>
        <v>foreigners</v>
      </c>
      <c r="D6" s="3" t="s">
        <v>46</v>
      </c>
      <c r="E6" s="10" t="s">
        <v>59</v>
      </c>
    </row>
    <row r="7">
      <c r="A7" s="3" t="s">
        <v>60</v>
      </c>
      <c r="B7" s="9" t="s">
        <v>61</v>
      </c>
      <c r="C7" s="3" t="str">
        <f>IFERROR(__xludf.DUMMYFUNCTION("REGEXEXTRACT(TO_TEXT(B7), ""\((.*?)\)"")"),"foreigners")</f>
        <v>foreigners</v>
      </c>
      <c r="D7" s="3" t="s">
        <v>46</v>
      </c>
      <c r="E7" s="10" t="s">
        <v>62</v>
      </c>
    </row>
    <row r="8">
      <c r="A8" s="3" t="s">
        <v>63</v>
      </c>
      <c r="B8" s="9" t="s">
        <v>64</v>
      </c>
      <c r="C8" s="3" t="str">
        <f>IFERROR(__xludf.DUMMYFUNCTION("REGEXEXTRACT(TO_TEXT(B8), ""\((.*?)\)"")"),"foreigners")</f>
        <v>foreigners</v>
      </c>
      <c r="D8" s="3" t="s">
        <v>46</v>
      </c>
      <c r="E8" s="10" t="s">
        <v>65</v>
      </c>
    </row>
    <row r="9">
      <c r="A9" s="3" t="s">
        <v>66</v>
      </c>
      <c r="B9" s="9" t="s">
        <v>67</v>
      </c>
      <c r="C9" s="3" t="str">
        <f>IFERROR(__xludf.DUMMYFUNCTION("REGEXEXTRACT(TO_TEXT(B9), ""\((.*?)\)"")"),"foreigners")</f>
        <v>foreigners</v>
      </c>
      <c r="D9" s="3" t="s">
        <v>46</v>
      </c>
      <c r="E9" s="10" t="s">
        <v>68</v>
      </c>
    </row>
    <row r="10">
      <c r="A10" s="3" t="s">
        <v>69</v>
      </c>
      <c r="B10" s="9" t="s">
        <v>70</v>
      </c>
      <c r="C10" s="3" t="str">
        <f>IFERROR(__xludf.DUMMYFUNCTION("REGEXEXTRACT(TO_TEXT(B10), ""\((.*?)\)"")"),"foreigners")</f>
        <v>foreigners</v>
      </c>
      <c r="D10" s="3" t="s">
        <v>46</v>
      </c>
      <c r="E10" s="10" t="s">
        <v>71</v>
      </c>
    </row>
    <row r="11">
      <c r="A11" s="3" t="s">
        <v>72</v>
      </c>
      <c r="B11" s="9" t="s">
        <v>73</v>
      </c>
      <c r="C11" s="3" t="str">
        <f>IFERROR(__xludf.DUMMYFUNCTION("REGEXEXTRACT(TO_TEXT(B11), ""\((.*?)\)"")"),"foreigners")</f>
        <v>foreigners</v>
      </c>
      <c r="D11" s="3" t="s">
        <v>46</v>
      </c>
      <c r="E11" s="10" t="s">
        <v>74</v>
      </c>
    </row>
    <row r="12">
      <c r="A12" s="3" t="s">
        <v>75</v>
      </c>
      <c r="B12" s="9" t="s">
        <v>76</v>
      </c>
      <c r="C12" s="3" t="str">
        <f>IFERROR(__xludf.DUMMYFUNCTION("REGEXEXTRACT(TO_TEXT(B12), ""\((.*?)\)"")"),"foreigners")</f>
        <v>foreigners</v>
      </c>
      <c r="D12" s="3" t="s">
        <v>46</v>
      </c>
      <c r="E12" s="10" t="s">
        <v>77</v>
      </c>
    </row>
    <row r="13">
      <c r="A13" s="3" t="s">
        <v>78</v>
      </c>
      <c r="B13" s="9" t="s">
        <v>79</v>
      </c>
      <c r="C13" s="3" t="str">
        <f>IFERROR(__xludf.DUMMYFUNCTION("REGEXEXTRACT(TO_TEXT(B13), ""\((.*?)\)"")"),"people with developmental disabilities, carers")</f>
        <v>people with developmental disabilities, carers</v>
      </c>
      <c r="D13" s="3" t="s">
        <v>80</v>
      </c>
      <c r="E13" s="10" t="s">
        <v>81</v>
      </c>
    </row>
    <row r="14">
      <c r="A14" s="3" t="s">
        <v>82</v>
      </c>
      <c r="B14" s="9" t="s">
        <v>83</v>
      </c>
      <c r="C14" s="3" t="str">
        <f>IFERROR(__xludf.DUMMYFUNCTION("REGEXEXTRACT(TO_TEXT(B14), ""\((.*?)\)"")"),"people with developmental disabilities, carers")</f>
        <v>people with developmental disabilities, carers</v>
      </c>
      <c r="D14" s="3" t="s">
        <v>80</v>
      </c>
      <c r="E14" s="10" t="s">
        <v>84</v>
      </c>
    </row>
    <row r="15">
      <c r="A15" s="3" t="s">
        <v>85</v>
      </c>
      <c r="B15" s="9" t="s">
        <v>86</v>
      </c>
      <c r="C15" s="3" t="str">
        <f>IFERROR(__xludf.DUMMYFUNCTION("REGEXEXTRACT(TO_TEXT(B15), ""\((.*?)\)"")"),"people with pets")</f>
        <v>people with pets</v>
      </c>
      <c r="D15" s="3" t="s">
        <v>87</v>
      </c>
      <c r="E15" s="10" t="s">
        <v>88</v>
      </c>
    </row>
    <row r="16">
      <c r="A16" s="3" t="s">
        <v>89</v>
      </c>
      <c r="B16" s="9" t="s">
        <v>90</v>
      </c>
      <c r="C16" s="3" t="str">
        <f>IFERROR(__xludf.DUMMYFUNCTION("REGEXEXTRACT(TO_TEXT(B16), ""\((.*?)\)"")"),"people with pets")</f>
        <v>people with pets</v>
      </c>
      <c r="D16" s="3" t="s">
        <v>87</v>
      </c>
      <c r="E16" s="10" t="s">
        <v>91</v>
      </c>
    </row>
    <row r="17">
      <c r="A17" s="3" t="s">
        <v>92</v>
      </c>
      <c r="B17" s="9" t="s">
        <v>93</v>
      </c>
      <c r="C17" s="3" t="str">
        <f>IFERROR(__xludf.DUMMYFUNCTION("REGEXEXTRACT(TO_TEXT(B17), ""\((.*?)\)"")"),"people with pets")</f>
        <v>people with pets</v>
      </c>
      <c r="D17" s="3" t="s">
        <v>87</v>
      </c>
      <c r="E17" s="10" t="s">
        <v>94</v>
      </c>
    </row>
    <row r="18">
      <c r="A18" s="3" t="s">
        <v>95</v>
      </c>
      <c r="B18" s="9" t="s">
        <v>96</v>
      </c>
      <c r="C18" s="3" t="str">
        <f>IFERROR(__xludf.DUMMYFUNCTION("REGEXEXTRACT(TO_TEXT(B18), ""\((.*?)\)"")"),"people with pets")</f>
        <v>people with pets</v>
      </c>
      <c r="D18" s="3" t="s">
        <v>87</v>
      </c>
      <c r="E18" s="10" t="s">
        <v>97</v>
      </c>
    </row>
    <row r="19">
      <c r="A19" s="3" t="s">
        <v>98</v>
      </c>
      <c r="B19" s="9" t="s">
        <v>99</v>
      </c>
      <c r="C19" s="3" t="str">
        <f>IFERROR(__xludf.DUMMYFUNCTION("REGEXEXTRACT(TO_TEXT(B19), ""\((.*?)\)"")"),"people with pets")</f>
        <v>people with pets</v>
      </c>
      <c r="D19" s="3" t="s">
        <v>87</v>
      </c>
      <c r="E19" s="10" t="s">
        <v>100</v>
      </c>
    </row>
  </sheetData>
  <autoFilter ref="$A$1:$AB$19">
    <sortState ref="A1:AB19">
      <sortCondition descending="1" ref="D1:D19"/>
    </sortState>
  </autoFilter>
  <hyperlinks>
    <hyperlink r:id="rId1" ref="B2"/>
    <hyperlink r:id="rId2" ref="E2"/>
    <hyperlink r:id="rId3" ref="B3"/>
    <hyperlink r:id="rId4" ref="E3"/>
    <hyperlink r:id="rId5" ref="B4"/>
    <hyperlink r:id="rId6" ref="E4"/>
    <hyperlink r:id="rId7" ref="B5"/>
    <hyperlink r:id="rId8" ref="E5"/>
    <hyperlink r:id="rId9" ref="B6"/>
    <hyperlink r:id="rId10" ref="E6"/>
    <hyperlink r:id="rId11" ref="B7"/>
    <hyperlink r:id="rId12" ref="E7"/>
    <hyperlink r:id="rId13" ref="B8"/>
    <hyperlink r:id="rId14" ref="E8"/>
    <hyperlink r:id="rId15" ref="B9"/>
    <hyperlink r:id="rId16" ref="E9"/>
    <hyperlink r:id="rId17" ref="B10"/>
    <hyperlink r:id="rId18" ref="E10"/>
    <hyperlink r:id="rId19" ref="B11"/>
    <hyperlink r:id="rId20" ref="E11"/>
    <hyperlink r:id="rId21" ref="B12"/>
    <hyperlink r:id="rId22" ref="E12"/>
    <hyperlink r:id="rId23" ref="B13"/>
    <hyperlink r:id="rId24" ref="E13"/>
    <hyperlink r:id="rId25" ref="B14"/>
    <hyperlink r:id="rId26" ref="E14"/>
    <hyperlink r:id="rId27" ref="B15"/>
    <hyperlink r:id="rId28" ref="E15"/>
    <hyperlink r:id="rId29" ref="B16"/>
    <hyperlink r:id="rId30" ref="E16"/>
    <hyperlink r:id="rId31" ref="B17"/>
    <hyperlink r:id="rId32" ref="E17"/>
    <hyperlink r:id="rId33" ref="B18"/>
    <hyperlink r:id="rId34" ref="E18"/>
    <hyperlink r:id="rId35" ref="B19"/>
    <hyperlink r:id="rId36" ref="E19"/>
  </hyperlinks>
  <drawing r:id="rId37"/>
</worksheet>
</file>