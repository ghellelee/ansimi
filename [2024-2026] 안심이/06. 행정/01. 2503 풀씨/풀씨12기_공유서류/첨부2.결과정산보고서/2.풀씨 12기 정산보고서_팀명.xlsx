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pc\Desktop\1.2025 풀씨12기\0.서류양식\풀씨12기_공유서류\첨부2.결과정산보고서\"/>
    </mc:Choice>
  </mc:AlternateContent>
  <xr:revisionPtr revIDLastSave="0" documentId="13_ncr:1_{3DEF7243-5645-42DD-B6D6-FA217686C333}" xr6:coauthVersionLast="47" xr6:coauthVersionMax="47" xr10:uidLastSave="{00000000-0000-0000-0000-000000000000}"/>
  <bookViews>
    <workbookView xWindow="-108" yWindow="-108" windowWidth="23256" windowHeight="12576" xr2:uid="{86584C8E-5241-474C-8236-0EF4C1D05632}"/>
  </bookViews>
  <sheets>
    <sheet name="결과정산보고서" sheetId="26" r:id="rId1"/>
    <sheet name="활동비지출일별내역" sheetId="16" r:id="rId2"/>
    <sheet name="4.관항목정리목록 (2)" sheetId="28" state="hidden" r:id="rId3"/>
    <sheet name="정산보고서" sheetId="19" state="hidden" r:id="rId4"/>
    <sheet name="결과정산보고서 (2)" sheetId="27" state="hidden" r:id="rId5"/>
  </sheets>
  <definedNames>
    <definedName name="_xlnm._FilterDatabase" localSheetId="0" hidden="1">결과정산보고서!$F$7:$K$8</definedName>
    <definedName name="_xlnm._FilterDatabase" localSheetId="4" hidden="1">'결과정산보고서 (2)'!$E$7:$K$8</definedName>
    <definedName name="_xlnm._FilterDatabase" localSheetId="3" hidden="1">정산보고서!$A$6:$K$32</definedName>
    <definedName name="_xlnm._FilterDatabase" localSheetId="1" hidden="1">활동비지출일별내역!$A$6:$J$248</definedName>
    <definedName name="ER" localSheetId="2">'4.관항목정리목록 (2)'!#REF!</definedName>
    <definedName name="ER">#REF!</definedName>
    <definedName name="_xlnm.Print_Area" localSheetId="0">결과정산보고서!$A$1:$M$23</definedName>
    <definedName name="_xlnm.Print_Area" localSheetId="4">'결과정산보고서 (2)'!$A$1:$M$28</definedName>
    <definedName name="_xlnm.Print_Area" localSheetId="1">활동비지출일별내역!$A$1:$J$167</definedName>
    <definedName name="관" localSheetId="2">'4.관항목정리목록 (2)'!$B$5:$B$8</definedName>
    <definedName name="관">#REF!</definedName>
    <definedName name="관리운영비" localSheetId="2">'4.관항목정리목록 (2)'!#REF!</definedName>
    <definedName name="관리운영비">#REF!</definedName>
    <definedName name="교육자료제작" localSheetId="2">'4.관항목정리목록 (2)'!#REF!</definedName>
    <definedName name="교육자료제작">#REF!</definedName>
    <definedName name="근거자료">#REF!</definedName>
    <definedName name="목" localSheetId="2">'4.관항목정리목록 (2)'!$D$4:$D$8</definedName>
    <definedName name="사업비">결과정산보고서!$C$9:$C$18</definedName>
    <definedName name="사업외비용" localSheetId="2">'4.관항목정리목록 (2)'!#REF!</definedName>
    <definedName name="사업외비용">#REF!</definedName>
    <definedName name="사업외수입" localSheetId="2">'4.관항목정리목록 (2)'!#REF!</definedName>
    <definedName name="사업외수입">#REF!</definedName>
    <definedName name="세목" localSheetId="2">'4.관항목정리목록 (2)'!#REF!</definedName>
    <definedName name="세목">#REF!</definedName>
    <definedName name="수입" localSheetId="2">'4.관항목정리목록 (2)'!$E$7:$G$7</definedName>
    <definedName name="수입">결과정산보고서!$D$44:$D$46</definedName>
    <definedName name="우산수리교육워크숍" localSheetId="2">'4.관항목정리목록 (2)'!#REF!</definedName>
    <definedName name="우산수리교육워크숍">결과정산보고서!$C$9:$C$10</definedName>
    <definedName name="운영비" localSheetId="2">'4.관항목정리목록 (2)'!#REF!</definedName>
    <definedName name="운영비">결과정산보고서!$C$20</definedName>
    <definedName name="유형" localSheetId="2">'4.관항목정리목록 (2)'!#REF!</definedName>
    <definedName name="유형">#REF!</definedName>
    <definedName name="인건비" localSheetId="2">'4.관항목정리목록 (2)'!#REF!</definedName>
    <definedName name="인건비">#REF!</definedName>
    <definedName name="전담인력" localSheetId="2">'4.관항목정리목록 (2)'!#REF!</definedName>
    <definedName name="전담인력">#REF!</definedName>
    <definedName name="증빙종류" localSheetId="2">'4.관항목정리목록 (2)'!#REF!</definedName>
    <definedName name="증빙종류">#REF!</definedName>
    <definedName name="학교참여수거모델개발" localSheetId="2">'4.관항목정리목록 (2)'!#REF!</definedName>
    <definedName name="학교참여수거모델개발">#REF!</definedName>
    <definedName name="홍보비" localSheetId="2">'4.관항목정리목록 (2)'!#REF!</definedName>
    <definedName name="홍보비">#REF!</definedName>
    <definedName name="후원금수입" localSheetId="2">'4.관항목정리목록 (2)'!#REF!</definedName>
    <definedName name="후원금수입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6" l="1"/>
  <c r="H16" i="16" s="1"/>
  <c r="H17" i="16" s="1"/>
  <c r="H18" i="16" s="1"/>
  <c r="H19" i="16" s="1"/>
  <c r="H20" i="16" s="1"/>
  <c r="H21" i="16" s="1"/>
  <c r="H22" i="16" s="1"/>
  <c r="H23" i="16" s="1"/>
  <c r="H24" i="16" s="1"/>
  <c r="H25" i="16" s="1"/>
  <c r="H26" i="16" s="1"/>
  <c r="H27" i="16" s="1"/>
  <c r="H28" i="16" s="1"/>
  <c r="H29" i="16" s="1"/>
  <c r="H30" i="16" s="1"/>
  <c r="H31" i="16" s="1"/>
  <c r="H32" i="16" s="1"/>
  <c r="H33" i="16" s="1"/>
  <c r="H34" i="16" s="1"/>
  <c r="H35" i="16" s="1"/>
  <c r="H36" i="16" s="1"/>
  <c r="H37" i="16" s="1"/>
  <c r="H38" i="16" s="1"/>
  <c r="H39" i="16" s="1"/>
  <c r="H40" i="16" s="1"/>
  <c r="H41" i="16" s="1"/>
  <c r="H42" i="16" s="1"/>
  <c r="H43" i="16" s="1"/>
  <c r="H44" i="16" s="1"/>
  <c r="H45" i="16" s="1"/>
  <c r="H46" i="16" s="1"/>
  <c r="H47" i="16" s="1"/>
  <c r="H48" i="16" s="1"/>
  <c r="H49" i="16" s="1"/>
  <c r="H50" i="16" s="1"/>
  <c r="H51" i="16" s="1"/>
  <c r="H52" i="16" s="1"/>
  <c r="H53" i="16" s="1"/>
  <c r="H54" i="16" s="1"/>
  <c r="H55" i="16" s="1"/>
  <c r="H56" i="16" s="1"/>
  <c r="H57" i="16" s="1"/>
  <c r="H58" i="16" s="1"/>
  <c r="H59" i="16" s="1"/>
  <c r="H60" i="16" s="1"/>
  <c r="H61" i="16" s="1"/>
  <c r="H62" i="16" s="1"/>
  <c r="H63" i="16" s="1"/>
  <c r="H64" i="16" s="1"/>
  <c r="H65" i="16" s="1"/>
  <c r="H66" i="16" s="1"/>
  <c r="H67" i="16" s="1"/>
  <c r="H68" i="16" s="1"/>
  <c r="H69" i="16" s="1"/>
  <c r="H70" i="16" s="1"/>
  <c r="H71" i="16" s="1"/>
  <c r="H72" i="16" s="1"/>
  <c r="H73" i="16" s="1"/>
  <c r="H74" i="16" s="1"/>
  <c r="H75" i="16" s="1"/>
  <c r="H76" i="16" s="1"/>
  <c r="H77" i="16" s="1"/>
  <c r="H78" i="16" s="1"/>
  <c r="H79" i="16" s="1"/>
  <c r="H80" i="16" s="1"/>
  <c r="H81" i="16" s="1"/>
  <c r="H82" i="16" s="1"/>
  <c r="H83" i="16" s="1"/>
  <c r="H84" i="16" s="1"/>
  <c r="H85" i="16" s="1"/>
  <c r="H86" i="16" s="1"/>
  <c r="H87" i="16" s="1"/>
  <c r="H88" i="16" s="1"/>
  <c r="H89" i="16" s="1"/>
  <c r="H90" i="16" s="1"/>
  <c r="H91" i="16" s="1"/>
  <c r="H92" i="16" s="1"/>
  <c r="H93" i="16" s="1"/>
  <c r="H94" i="16" s="1"/>
  <c r="H95" i="16" s="1"/>
  <c r="H96" i="16" s="1"/>
  <c r="H97" i="16" s="1"/>
  <c r="H98" i="16" s="1"/>
  <c r="H99" i="16" s="1"/>
  <c r="H100" i="16" s="1"/>
  <c r="H101" i="16" s="1"/>
  <c r="H102" i="16" s="1"/>
  <c r="H103" i="16" s="1"/>
  <c r="H104" i="16" s="1"/>
  <c r="H105" i="16" s="1"/>
  <c r="H106" i="16" s="1"/>
  <c r="H107" i="16" s="1"/>
  <c r="H108" i="16" s="1"/>
  <c r="H109" i="16" s="1"/>
  <c r="H110" i="16" s="1"/>
  <c r="H111" i="16" s="1"/>
  <c r="H112" i="16" s="1"/>
  <c r="H113" i="16" s="1"/>
  <c r="H114" i="16" s="1"/>
  <c r="H115" i="16" s="1"/>
  <c r="H116" i="16" s="1"/>
  <c r="H117" i="16" s="1"/>
  <c r="H118" i="16" s="1"/>
  <c r="H119" i="16" s="1"/>
  <c r="H120" i="16" s="1"/>
  <c r="H121" i="16" s="1"/>
  <c r="H122" i="16" s="1"/>
  <c r="H123" i="16" s="1"/>
  <c r="H124" i="16" s="1"/>
  <c r="H125" i="16" s="1"/>
  <c r="H126" i="16" s="1"/>
  <c r="H127" i="16" s="1"/>
  <c r="H128" i="16" s="1"/>
  <c r="H129" i="16" s="1"/>
  <c r="H130" i="16" s="1"/>
  <c r="H131" i="16" s="1"/>
  <c r="H132" i="16" s="1"/>
  <c r="H133" i="16" s="1"/>
  <c r="H134" i="16" s="1"/>
  <c r="H135" i="16" s="1"/>
  <c r="H136" i="16" s="1"/>
  <c r="H137" i="16" s="1"/>
  <c r="H138" i="16" s="1"/>
  <c r="H139" i="16" s="1"/>
  <c r="H140" i="16" s="1"/>
  <c r="H141" i="16" s="1"/>
  <c r="H142" i="16" s="1"/>
  <c r="H143" i="16" s="1"/>
  <c r="H144" i="16" s="1"/>
  <c r="H145" i="16" s="1"/>
  <c r="H146" i="16" s="1"/>
  <c r="H147" i="16" s="1"/>
  <c r="H148" i="16" s="1"/>
  <c r="H149" i="16" s="1"/>
  <c r="H150" i="16" s="1"/>
  <c r="H151" i="16" s="1"/>
  <c r="H152" i="16" s="1"/>
  <c r="H153" i="16" s="1"/>
  <c r="H154" i="16" s="1"/>
  <c r="H155" i="16" s="1"/>
  <c r="H156" i="16" s="1"/>
  <c r="H157" i="16" s="1"/>
  <c r="H158" i="16" s="1"/>
  <c r="H159" i="16" s="1"/>
  <c r="H160" i="16" s="1"/>
  <c r="H161" i="16" s="1"/>
  <c r="H162" i="16" s="1"/>
  <c r="H163" i="16" s="1"/>
  <c r="H164" i="16" s="1"/>
  <c r="H165" i="16" s="1"/>
  <c r="H166" i="16" s="1"/>
  <c r="H167" i="16" s="1"/>
  <c r="H168" i="16" s="1"/>
  <c r="H169" i="16" s="1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81" i="16"/>
  <c r="K82" i="16"/>
  <c r="K83" i="16"/>
  <c r="K84" i="16"/>
  <c r="K85" i="16"/>
  <c r="K86" i="16"/>
  <c r="K87" i="16"/>
  <c r="K88" i="16"/>
  <c r="K89" i="16"/>
  <c r="K90" i="16"/>
  <c r="K91" i="16"/>
  <c r="K92" i="16"/>
  <c r="K93" i="16"/>
  <c r="K94" i="16"/>
  <c r="K95" i="16"/>
  <c r="K96" i="16"/>
  <c r="K97" i="16"/>
  <c r="K98" i="16"/>
  <c r="K99" i="16"/>
  <c r="K100" i="16"/>
  <c r="K101" i="16"/>
  <c r="K102" i="16"/>
  <c r="K103" i="16"/>
  <c r="K104" i="16"/>
  <c r="K105" i="16"/>
  <c r="K106" i="16"/>
  <c r="K107" i="16"/>
  <c r="K108" i="16"/>
  <c r="K109" i="16"/>
  <c r="K110" i="16"/>
  <c r="K111" i="16"/>
  <c r="K112" i="16"/>
  <c r="K113" i="16"/>
  <c r="K114" i="16"/>
  <c r="K115" i="16"/>
  <c r="K116" i="16"/>
  <c r="K117" i="16"/>
  <c r="K118" i="16"/>
  <c r="K119" i="16"/>
  <c r="K120" i="16"/>
  <c r="K121" i="16"/>
  <c r="K122" i="16"/>
  <c r="K123" i="16"/>
  <c r="K124" i="16"/>
  <c r="K125" i="16"/>
  <c r="K126" i="16"/>
  <c r="K127" i="16"/>
  <c r="K128" i="16"/>
  <c r="K129" i="16"/>
  <c r="K130" i="16"/>
  <c r="K131" i="16"/>
  <c r="K132" i="16"/>
  <c r="K133" i="16"/>
  <c r="K134" i="16"/>
  <c r="K135" i="16"/>
  <c r="K136" i="16"/>
  <c r="K137" i="16"/>
  <c r="K138" i="16"/>
  <c r="K139" i="16"/>
  <c r="K140" i="16"/>
  <c r="K141" i="16"/>
  <c r="K142" i="16"/>
  <c r="K143" i="16"/>
  <c r="K144" i="16"/>
  <c r="K145" i="16"/>
  <c r="K146" i="16"/>
  <c r="K147" i="16"/>
  <c r="K148" i="16"/>
  <c r="K149" i="16"/>
  <c r="K150" i="16"/>
  <c r="K151" i="16"/>
  <c r="K152" i="16"/>
  <c r="K153" i="16"/>
  <c r="K154" i="16"/>
  <c r="K155" i="16"/>
  <c r="K156" i="16"/>
  <c r="K157" i="16"/>
  <c r="K158" i="16"/>
  <c r="K159" i="16"/>
  <c r="K160" i="16"/>
  <c r="K161" i="16"/>
  <c r="K162" i="16"/>
  <c r="K163" i="16"/>
  <c r="K164" i="16"/>
  <c r="K165" i="16"/>
  <c r="K166" i="16"/>
  <c r="K167" i="16"/>
  <c r="K168" i="16"/>
  <c r="K169" i="16"/>
  <c r="K170" i="16"/>
  <c r="K171" i="16"/>
  <c r="K172" i="16"/>
  <c r="K173" i="16"/>
  <c r="K174" i="16"/>
  <c r="K175" i="16"/>
  <c r="K176" i="16"/>
  <c r="K177" i="16"/>
  <c r="K178" i="16"/>
  <c r="K179" i="16"/>
  <c r="K180" i="16"/>
  <c r="K181" i="16"/>
  <c r="K182" i="16"/>
  <c r="K183" i="16"/>
  <c r="K184" i="16"/>
  <c r="K185" i="16"/>
  <c r="K186" i="16"/>
  <c r="K187" i="16"/>
  <c r="K188" i="16"/>
  <c r="K189" i="16"/>
  <c r="K190" i="16"/>
  <c r="K191" i="16"/>
  <c r="K192" i="16"/>
  <c r="K193" i="16"/>
  <c r="K194" i="16"/>
  <c r="K195" i="16"/>
  <c r="K196" i="16"/>
  <c r="K197" i="16"/>
  <c r="K198" i="16"/>
  <c r="K199" i="16"/>
  <c r="K200" i="16"/>
  <c r="K201" i="16"/>
  <c r="K202" i="16"/>
  <c r="K203" i="16"/>
  <c r="K204" i="16"/>
  <c r="K205" i="16"/>
  <c r="K206" i="16"/>
  <c r="K207" i="16"/>
  <c r="K208" i="16"/>
  <c r="K209" i="16"/>
  <c r="K210" i="16"/>
  <c r="K211" i="16"/>
  <c r="K212" i="16"/>
  <c r="K213" i="16"/>
  <c r="K214" i="16"/>
  <c r="K215" i="16"/>
  <c r="K216" i="16"/>
  <c r="K217" i="16"/>
  <c r="K218" i="16"/>
  <c r="K219" i="16"/>
  <c r="K220" i="16"/>
  <c r="K221" i="16"/>
  <c r="K222" i="16"/>
  <c r="K223" i="16"/>
  <c r="K224" i="16"/>
  <c r="K225" i="16"/>
  <c r="K226" i="16"/>
  <c r="K227" i="16"/>
  <c r="K228" i="16"/>
  <c r="K229" i="16"/>
  <c r="K230" i="16"/>
  <c r="G23" i="16"/>
  <c r="K23" i="16" s="1"/>
  <c r="L17" i="26" l="1"/>
  <c r="M17" i="26" s="1"/>
  <c r="L16" i="26"/>
  <c r="M16" i="26" s="1"/>
  <c r="L15" i="26"/>
  <c r="M15" i="26" s="1"/>
  <c r="L14" i="26"/>
  <c r="M14" i="26" s="1"/>
  <c r="L13" i="26"/>
  <c r="M13" i="26" s="1"/>
  <c r="L12" i="26"/>
  <c r="M12" i="26" s="1"/>
  <c r="K7" i="16" l="1"/>
  <c r="L10" i="26"/>
  <c r="M10" i="26" s="1"/>
  <c r="L11" i="26"/>
  <c r="M11" i="26" s="1"/>
  <c r="L18" i="26"/>
  <c r="M18" i="26" s="1"/>
  <c r="E19" i="26"/>
  <c r="L20" i="26"/>
  <c r="L9" i="26"/>
  <c r="M9" i="26" s="1"/>
  <c r="K231" i="16"/>
  <c r="K232" i="16"/>
  <c r="K233" i="16"/>
  <c r="K234" i="16"/>
  <c r="K235" i="16"/>
  <c r="K236" i="16"/>
  <c r="K237" i="16"/>
  <c r="K238" i="16"/>
  <c r="K239" i="16"/>
  <c r="K240" i="16"/>
  <c r="K241" i="16"/>
  <c r="K242" i="16"/>
  <c r="K243" i="16"/>
  <c r="K244" i="16"/>
  <c r="K245" i="16"/>
  <c r="K246" i="16"/>
  <c r="K247" i="16"/>
  <c r="K248" i="16"/>
  <c r="E22" i="26"/>
  <c r="F20" i="26" l="1" a="1"/>
  <c r="F20" i="26" s="1"/>
  <c r="G5" i="16"/>
  <c r="D26" i="27"/>
  <c r="J25" i="27"/>
  <c r="J24" i="27"/>
  <c r="J23" i="27"/>
  <c r="J22" i="27"/>
  <c r="J21" i="27"/>
  <c r="J20" i="27"/>
  <c r="L20" i="27" s="1"/>
  <c r="D19" i="27"/>
  <c r="J18" i="27"/>
  <c r="L18" i="27" s="1"/>
  <c r="M18" i="27" s="1"/>
  <c r="J17" i="27"/>
  <c r="J16" i="27"/>
  <c r="J15" i="27"/>
  <c r="J14" i="27"/>
  <c r="L13" i="27"/>
  <c r="M13" i="27" s="1"/>
  <c r="J13" i="27"/>
  <c r="J12" i="27"/>
  <c r="L12" i="27" s="1"/>
  <c r="M12" i="27" s="1"/>
  <c r="J11" i="27"/>
  <c r="J10" i="27"/>
  <c r="L9" i="27"/>
  <c r="J9" i="27"/>
  <c r="H7" i="16"/>
  <c r="E21" i="26"/>
  <c r="F12" i="26" l="1" a="1"/>
  <c r="F12" i="26" s="1"/>
  <c r="F16" i="26" a="1"/>
  <c r="F16" i="26" s="1"/>
  <c r="F10" i="26" a="1"/>
  <c r="F10" i="26" s="1"/>
  <c r="F14" i="26" a="1"/>
  <c r="F14" i="26" s="1"/>
  <c r="F13" i="26" a="1"/>
  <c r="F13" i="26" s="1"/>
  <c r="F15" i="26" a="1"/>
  <c r="F15" i="26" s="1"/>
  <c r="F17" i="26" a="1"/>
  <c r="F17" i="26" s="1"/>
  <c r="F9" i="26" a="1"/>
  <c r="F9" i="26" s="1"/>
  <c r="F11" i="26" a="1"/>
  <c r="F11" i="26" s="1"/>
  <c r="F18" i="26" a="1"/>
  <c r="F18" i="26" s="1"/>
  <c r="M20" i="26"/>
  <c r="L19" i="27"/>
  <c r="M20" i="27"/>
  <c r="L26" i="27"/>
  <c r="M26" i="27" s="1"/>
  <c r="M27" i="27" s="1"/>
  <c r="M19" i="27"/>
  <c r="M9" i="27"/>
  <c r="G31" i="19" a="1"/>
  <c r="G31" i="19" s="1"/>
  <c r="G30" i="19" a="1"/>
  <c r="G30" i="19" s="1"/>
  <c r="G28" i="19" a="1"/>
  <c r="G28" i="19" s="1"/>
  <c r="G25" i="19" a="1"/>
  <c r="G25" i="19" s="1"/>
  <c r="G23" i="19" a="1"/>
  <c r="G23" i="19" s="1"/>
  <c r="G21" i="19" a="1"/>
  <c r="G21" i="19" s="1"/>
  <c r="G29" i="19" a="1"/>
  <c r="G29" i="19" s="1"/>
  <c r="G26" i="19" a="1"/>
  <c r="G26" i="19" s="1"/>
  <c r="G24" i="19" a="1"/>
  <c r="G24" i="19" s="1"/>
  <c r="G22" i="19" a="1"/>
  <c r="G22" i="19" s="1"/>
  <c r="G19" i="19" a="1"/>
  <c r="G19" i="19" s="1"/>
  <c r="G18" i="19" a="1"/>
  <c r="G18" i="19" s="1"/>
  <c r="G13" i="19" a="1"/>
  <c r="G13" i="19" s="1"/>
  <c r="G12" i="19" a="1"/>
  <c r="G12" i="19" s="1"/>
  <c r="G15" i="19" a="1"/>
  <c r="G15" i="19" s="1"/>
  <c r="G10" i="19" a="1"/>
  <c r="G10" i="19" s="1"/>
  <c r="G8" i="19" a="1"/>
  <c r="G8" i="19" s="1"/>
  <c r="G1" i="19"/>
  <c r="G16" i="19" a="1"/>
  <c r="G16" i="19" s="1"/>
  <c r="G7" i="19" a="1"/>
  <c r="G7" i="19" s="1"/>
  <c r="L19" i="26" l="1"/>
  <c r="M19" i="26" s="1"/>
  <c r="H1" i="19"/>
  <c r="H26" i="19" a="1"/>
  <c r="H26" i="19" s="1"/>
  <c r="H16" i="19" a="1"/>
  <c r="H16" i="19" s="1"/>
  <c r="H31" i="19" a="1"/>
  <c r="H31" i="19" s="1"/>
  <c r="H22" i="19" a="1"/>
  <c r="H22" i="19" s="1"/>
  <c r="H29" i="19" a="1"/>
  <c r="H29" i="19" s="1"/>
  <c r="H25" i="19" a="1"/>
  <c r="H25" i="19" s="1"/>
  <c r="H13" i="19" a="1"/>
  <c r="H13" i="19" s="1"/>
  <c r="H8" i="19" a="1"/>
  <c r="H8" i="19" s="1"/>
  <c r="H19" i="19" a="1"/>
  <c r="H19" i="19" s="1"/>
  <c r="H18" i="19" a="1"/>
  <c r="H18" i="19" s="1"/>
  <c r="H28" i="19" a="1"/>
  <c r="H28" i="19" s="1"/>
  <c r="H15" i="19" a="1"/>
  <c r="H15" i="19" s="1"/>
  <c r="H23" i="19" a="1"/>
  <c r="H23" i="19" s="1"/>
  <c r="H12" i="19" a="1"/>
  <c r="H12" i="19" s="1"/>
  <c r="H7" i="19" a="1"/>
  <c r="H7" i="19" s="1"/>
  <c r="H10" i="19" a="1"/>
  <c r="H10" i="19" s="1"/>
  <c r="H24" i="19" a="1"/>
  <c r="H24" i="19" s="1"/>
  <c r="H21" i="19" a="1"/>
  <c r="H21" i="19" s="1"/>
  <c r="H30" i="19" a="1"/>
  <c r="H30" i="19" s="1"/>
  <c r="L21" i="26" l="1"/>
  <c r="M21" i="26" s="1"/>
  <c r="M22" i="26" s="1"/>
  <c r="G22" i="26" s="1"/>
  <c r="H22" i="26" s="1"/>
  <c r="F31" i="19" l="1"/>
  <c r="F20" i="19"/>
  <c r="F27" i="19"/>
  <c r="F32" i="19" l="1"/>
  <c r="I19" i="19" l="1"/>
  <c r="I18" i="19" l="1"/>
  <c r="J18" i="19"/>
  <c r="I28" i="19"/>
  <c r="J28" i="19"/>
  <c r="I22" i="19"/>
  <c r="J22" i="19"/>
  <c r="J25" i="19"/>
  <c r="I25" i="19"/>
  <c r="J24" i="19"/>
  <c r="I24" i="19"/>
  <c r="J21" i="19"/>
  <c r="I21" i="19"/>
  <c r="J30" i="19"/>
  <c r="I30" i="19"/>
  <c r="I29" i="19"/>
  <c r="J29" i="19"/>
  <c r="I26" i="19"/>
  <c r="J26" i="19"/>
  <c r="I23" i="19"/>
  <c r="J23" i="19"/>
  <c r="H2" i="19"/>
  <c r="H3" i="19" s="1"/>
  <c r="G32" i="19"/>
  <c r="G2" i="19"/>
  <c r="G3" i="19" s="1"/>
  <c r="H32" i="19"/>
  <c r="H8" i="16"/>
  <c r="H9" i="16" s="1"/>
  <c r="H10" i="16" l="1"/>
  <c r="H11" i="16" s="1"/>
  <c r="H12" i="16" s="1"/>
  <c r="H13" i="16" s="1"/>
  <c r="H14" i="16" s="1"/>
  <c r="H5" i="1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<sst xmlns="http://schemas.openxmlformats.org/spreadsheetml/2006/main" count="447" uniqueCount="278">
  <si>
    <t>계정과목</t>
    <phoneticPr fontId="0" type="noConversion"/>
  </si>
  <si>
    <t>항</t>
    <phoneticPr fontId="0" type="noConversion"/>
  </si>
  <si>
    <t>목</t>
    <phoneticPr fontId="0" type="noConversion"/>
  </si>
  <si>
    <t>예금대체</t>
    <phoneticPr fontId="0" type="noConversion"/>
  </si>
  <si>
    <t>예금간거래입금</t>
    <phoneticPr fontId="0" type="noConversion"/>
  </si>
  <si>
    <t>예금간거래출금</t>
    <phoneticPr fontId="0" type="noConversion"/>
  </si>
  <si>
    <t>예금이자수입</t>
    <phoneticPr fontId="0" type="noConversion"/>
  </si>
  <si>
    <t>잡수입</t>
    <phoneticPr fontId="0" type="noConversion"/>
  </si>
  <si>
    <t>소계</t>
    <phoneticPr fontId="0" type="noConversion"/>
  </si>
  <si>
    <t>사업외비용</t>
    <phoneticPr fontId="0" type="noConversion"/>
  </si>
  <si>
    <t>선급법인세</t>
    <phoneticPr fontId="0" type="noConversion"/>
  </si>
  <si>
    <t>잡지출</t>
    <phoneticPr fontId="0" type="noConversion"/>
  </si>
  <si>
    <t>사업수입</t>
    <phoneticPr fontId="0" type="noConversion"/>
  </si>
  <si>
    <t>인건비</t>
    <phoneticPr fontId="0" type="noConversion"/>
  </si>
  <si>
    <t>관리운영비</t>
    <phoneticPr fontId="0" type="noConversion"/>
  </si>
  <si>
    <t>총계</t>
    <phoneticPr fontId="0" type="noConversion"/>
  </si>
  <si>
    <t>차액</t>
    <phoneticPr fontId="0" type="noConversion"/>
  </si>
  <si>
    <t>통장입출금거래내역</t>
    <phoneticPr fontId="0" type="noConversion"/>
  </si>
  <si>
    <t>통장거래내역별수지현황</t>
    <phoneticPr fontId="0" type="noConversion"/>
  </si>
  <si>
    <t>잔액</t>
    <phoneticPr fontId="0" type="noConversion"/>
  </si>
  <si>
    <t>비고</t>
    <phoneticPr fontId="0" type="noConversion"/>
  </si>
  <si>
    <t>수입총계</t>
    <phoneticPr fontId="0" type="noConversion"/>
  </si>
  <si>
    <t>지출총계</t>
    <phoneticPr fontId="0" type="noConversion"/>
  </si>
  <si>
    <t>후원금수입</t>
  </si>
  <si>
    <t>구분</t>
    <phoneticPr fontId="0" type="noConversion"/>
  </si>
  <si>
    <t>사업비</t>
    <phoneticPr fontId="0" type="noConversion"/>
  </si>
  <si>
    <t>사업외수익</t>
    <phoneticPr fontId="0" type="noConversion"/>
  </si>
  <si>
    <t>운영비</t>
    <phoneticPr fontId="0" type="noConversion"/>
  </si>
  <si>
    <t>전담인력</t>
    <phoneticPr fontId="0" type="noConversion"/>
  </si>
  <si>
    <t>재단법인 숲과나눔</t>
    <phoneticPr fontId="0" type="noConversion"/>
  </si>
  <si>
    <t>사무용품비</t>
    <phoneticPr fontId="0" type="noConversion"/>
  </si>
  <si>
    <t>회의비</t>
    <phoneticPr fontId="0" type="noConversion"/>
  </si>
  <si>
    <t>사업비</t>
    <phoneticPr fontId="0" type="noConversion"/>
  </si>
  <si>
    <t>2023년 초록열매성과확산프로젝트 사업비 수지현황</t>
    <phoneticPr fontId="0" type="noConversion"/>
  </si>
  <si>
    <t>급여</t>
    <phoneticPr fontId="0" type="noConversion"/>
  </si>
  <si>
    <t>사회보험</t>
    <phoneticPr fontId="0" type="noConversion"/>
  </si>
  <si>
    <t>관</t>
    <phoneticPr fontId="0" type="noConversion"/>
  </si>
  <si>
    <t>출장비</t>
    <phoneticPr fontId="0" type="noConversion"/>
  </si>
  <si>
    <t>우편료·수수료 등</t>
    <phoneticPr fontId="0" type="noConversion"/>
  </si>
  <si>
    <t>학교참여수거모델개발</t>
    <phoneticPr fontId="0" type="noConversion"/>
  </si>
  <si>
    <t>개발회의비</t>
    <phoneticPr fontId="0" type="noConversion"/>
  </si>
  <si>
    <t>학교수거공간조성비</t>
    <phoneticPr fontId="0" type="noConversion"/>
  </si>
  <si>
    <t>자원순환교육</t>
    <phoneticPr fontId="0" type="noConversion"/>
  </si>
  <si>
    <t>종이팩수거</t>
    <phoneticPr fontId="0" type="noConversion"/>
  </si>
  <si>
    <t>교육자료제작</t>
    <phoneticPr fontId="0" type="noConversion"/>
  </si>
  <si>
    <t>자료제작비</t>
    <phoneticPr fontId="0" type="noConversion"/>
  </si>
  <si>
    <t>관</t>
    <phoneticPr fontId="0" type="noConversion"/>
  </si>
  <si>
    <t>복지부2005</t>
    <phoneticPr fontId="0" type="noConversion"/>
  </si>
  <si>
    <t>복지부2006</t>
  </si>
  <si>
    <t>복지부2007</t>
  </si>
  <si>
    <t>복지부2008</t>
  </si>
  <si>
    <t>복지부2009</t>
  </si>
  <si>
    <t>서울희망드림뱅크2009</t>
    <phoneticPr fontId="0" type="noConversion"/>
  </si>
  <si>
    <t>국민은행2008</t>
    <phoneticPr fontId="0" type="noConversion"/>
  </si>
  <si>
    <t>씨티2009</t>
    <phoneticPr fontId="0" type="noConversion"/>
  </si>
  <si>
    <t>경상회계</t>
    <phoneticPr fontId="0" type="noConversion"/>
  </si>
  <si>
    <t>사업경비</t>
    <phoneticPr fontId="0" type="noConversion"/>
  </si>
  <si>
    <t>사전관리</t>
    <phoneticPr fontId="0" type="noConversion"/>
  </si>
  <si>
    <t>사후관리</t>
    <phoneticPr fontId="0" type="noConversion"/>
  </si>
  <si>
    <t>간접사업비</t>
    <phoneticPr fontId="0" type="noConversion"/>
  </si>
  <si>
    <t>지역지도자양성</t>
    <phoneticPr fontId="0" type="noConversion"/>
  </si>
  <si>
    <t>지역네트워크강화</t>
    <phoneticPr fontId="0" type="noConversion"/>
  </si>
  <si>
    <t>업무시스템</t>
    <phoneticPr fontId="0" type="noConversion"/>
  </si>
  <si>
    <t>복지부2007</t>
    <phoneticPr fontId="0" type="noConversion"/>
  </si>
  <si>
    <t>매롱</t>
    <phoneticPr fontId="0" type="noConversion"/>
  </si>
  <si>
    <t>얼레리</t>
    <phoneticPr fontId="0" type="noConversion"/>
  </si>
  <si>
    <t>닐리리</t>
    <phoneticPr fontId="0" type="noConversion"/>
  </si>
  <si>
    <t>전문가전략회의</t>
    <phoneticPr fontId="0" type="noConversion"/>
  </si>
  <si>
    <t>사례관리활동</t>
    <phoneticPr fontId="0" type="noConversion"/>
  </si>
  <si>
    <t>경영컨설팅(전문가)</t>
    <phoneticPr fontId="0" type="noConversion"/>
  </si>
  <si>
    <t>총괄자 인건비</t>
    <phoneticPr fontId="0" type="noConversion"/>
  </si>
  <si>
    <t>복지부2008</t>
    <phoneticPr fontId="0" type="noConversion"/>
  </si>
  <si>
    <t>매롱2</t>
    <phoneticPr fontId="0" type="noConversion"/>
  </si>
  <si>
    <t>얼레리2</t>
    <phoneticPr fontId="0" type="noConversion"/>
  </si>
  <si>
    <t>닐리리2</t>
    <phoneticPr fontId="0" type="noConversion"/>
  </si>
  <si>
    <t>모형개발활동</t>
    <phoneticPr fontId="0" type="noConversion"/>
  </si>
  <si>
    <t>지역지도자대표활동</t>
    <phoneticPr fontId="0" type="noConversion"/>
  </si>
  <si>
    <t>경영컨설팅(산학협력)</t>
    <phoneticPr fontId="0" type="noConversion"/>
  </si>
  <si>
    <t>시스템분석</t>
    <phoneticPr fontId="0" type="noConversion"/>
  </si>
  <si>
    <t>수행자인건비</t>
    <phoneticPr fontId="0" type="noConversion"/>
  </si>
  <si>
    <t>복지부2009</t>
    <phoneticPr fontId="0" type="noConversion"/>
  </si>
  <si>
    <t>매롱3</t>
    <phoneticPr fontId="0" type="noConversion"/>
  </si>
  <si>
    <t>얼레리3</t>
  </si>
  <si>
    <t>닐리리3</t>
  </si>
  <si>
    <t>1차워크숍(전체)</t>
    <phoneticPr fontId="0" type="noConversion"/>
  </si>
  <si>
    <t>슈퍼비전회의</t>
    <phoneticPr fontId="0" type="noConversion"/>
  </si>
  <si>
    <t>공동체 교육</t>
    <phoneticPr fontId="0" type="noConversion"/>
  </si>
  <si>
    <t>시스템도입</t>
    <phoneticPr fontId="0" type="noConversion"/>
  </si>
  <si>
    <t>매롱4</t>
    <phoneticPr fontId="0" type="noConversion"/>
  </si>
  <si>
    <t>얼레리4</t>
  </si>
  <si>
    <t>닐리리4</t>
  </si>
  <si>
    <t>발표비</t>
    <phoneticPr fontId="0" type="noConversion"/>
  </si>
  <si>
    <t>지회별 워크숍</t>
    <phoneticPr fontId="0" type="noConversion"/>
  </si>
  <si>
    <t>회계감사비</t>
    <phoneticPr fontId="0" type="noConversion"/>
  </si>
  <si>
    <t>매롱5</t>
  </si>
  <si>
    <t>얼레리5</t>
  </si>
  <si>
    <t>닐리리5</t>
  </si>
  <si>
    <t>발표자료 작성비</t>
    <phoneticPr fontId="0" type="noConversion"/>
  </si>
  <si>
    <t>집행비율</t>
    <phoneticPr fontId="0" type="noConversion"/>
  </si>
  <si>
    <t>예산액</t>
    <phoneticPr fontId="0" type="noConversion"/>
  </si>
  <si>
    <t>산출근거</t>
    <phoneticPr fontId="0" type="noConversion"/>
  </si>
  <si>
    <t>집행잔액</t>
    <phoneticPr fontId="0" type="noConversion"/>
  </si>
  <si>
    <t>대표자</t>
  </si>
  <si>
    <t>지정후원금수입</t>
  </si>
  <si>
    <t>수입</t>
  </si>
  <si>
    <t>사업비</t>
  </si>
  <si>
    <t>계좌번호</t>
  </si>
  <si>
    <t>팀명</t>
  </si>
  <si>
    <t>거래은행</t>
  </si>
  <si>
    <t>세목</t>
  </si>
  <si>
    <t>세세목</t>
  </si>
  <si>
    <t>운영비</t>
  </si>
  <si>
    <t>순서</t>
  </si>
  <si>
    <r>
      <rPr>
        <b/>
        <sz val="12"/>
        <color theme="1"/>
        <rFont val="나눔고딕"/>
        <family val="3"/>
        <charset val="129"/>
      </rPr>
      <t xml:space="preserve">*첨부서류 : 활동비 통장거래내역 1부
</t>
    </r>
    <r>
      <rPr>
        <sz val="12"/>
        <color theme="1"/>
        <rFont val="나눔고딕"/>
        <family val="3"/>
        <charset val="129"/>
      </rPr>
      <t xml:space="preserve">
활동비 사용기준표에 의하여 위와 같이 활동비 사용내역을 보고합니다.
년     월      일
팀명 또는 개인  :                              (인)
</t>
    </r>
    <r>
      <rPr>
        <b/>
        <sz val="30"/>
        <color theme="1"/>
        <rFont val="나눔고딕"/>
        <family val="3"/>
        <charset val="129"/>
      </rPr>
      <t xml:space="preserve">
(재)숲과나눔 이사장 귀하</t>
    </r>
  </si>
  <si>
    <t>최종잔액
(통장잔액, 환급전)</t>
  </si>
  <si>
    <t>이자, 캐시백</t>
  </si>
  <si>
    <t>* 최종잔액 10,000원 이상시 재단에 환급</t>
  </si>
  <si>
    <t>합 계</t>
  </si>
  <si>
    <t>3명, 스타벅스</t>
  </si>
  <si>
    <t>회</t>
  </si>
  <si>
    <t>결과보고서 회의 다과</t>
  </si>
  <si>
    <t>7월 8일</t>
  </si>
  <si>
    <t>3명, 풀씨반점</t>
  </si>
  <si>
    <t>결과보고서 회의 식비</t>
  </si>
  <si>
    <t>이체 수수료</t>
  </si>
  <si>
    <t>금융수수료</t>
  </si>
  <si>
    <t xml:space="preserve"> 4월 10일</t>
  </si>
  <si>
    <t>모닝글로리</t>
  </si>
  <si>
    <t>세트</t>
  </si>
  <si>
    <t>사무용품</t>
  </si>
  <si>
    <t>4월 2일</t>
  </si>
  <si>
    <t>중간보고 회의 식비</t>
  </si>
  <si>
    <t>3월 20일</t>
  </si>
  <si>
    <t>3월 13일</t>
  </si>
  <si>
    <t>소 계</t>
  </si>
  <si>
    <t>6월 1일~6월 8일(7일)</t>
  </si>
  <si>
    <t>80000</t>
  </si>
  <si>
    <t>행사 및 교육책자 광고(인스타)</t>
  </si>
  <si>
    <t>7월 2일</t>
  </si>
  <si>
    <t>홍보비</t>
  </si>
  <si>
    <t>풀씨반점</t>
  </si>
  <si>
    <t>명</t>
  </si>
  <si>
    <t>10000</t>
  </si>
  <si>
    <t>책자 발간 회의 식사 2차</t>
  </si>
  <si>
    <t>4월 18일</t>
  </si>
  <si>
    <t>2000</t>
  </si>
  <si>
    <t>배포 우편비</t>
  </si>
  <si>
    <t>4월 12일</t>
  </si>
  <si>
    <t>3명, 풀씨마라탕</t>
  </si>
  <si>
    <t>18500</t>
  </si>
  <si>
    <t>책자 발간 회의 식사 1차</t>
  </si>
  <si>
    <t>풀씨디자인</t>
  </si>
  <si>
    <t>450000</t>
  </si>
  <si>
    <t>책자 1종 디자인 및 인쇄비
(30권)</t>
  </si>
  <si>
    <t>한국00연구소 
이00박사</t>
  </si>
  <si>
    <t>100,000</t>
  </si>
  <si>
    <t>외부전문가 감수비</t>
  </si>
  <si>
    <t>4월 10일</t>
  </si>
  <si>
    <t>교육책자 발간</t>
  </si>
  <si>
    <t>오피스콘 이용</t>
  </si>
  <si>
    <t>3000</t>
  </si>
  <si>
    <t>참가자 상품 (아메리카노 쿠폰)</t>
  </si>
  <si>
    <t>5월 4일</t>
  </si>
  <si>
    <t>시민워크숍</t>
  </si>
  <si>
    <t>김00박사</t>
  </si>
  <si>
    <t>150000</t>
  </si>
  <si>
    <t>외부강사초청</t>
  </si>
  <si>
    <t>투썸플레이스</t>
  </si>
  <si>
    <t>4000</t>
  </si>
  <si>
    <t>행사다과비(음료)</t>
  </si>
  <si>
    <t>3월 12일</t>
  </si>
  <si>
    <t>장소: 토스강남점</t>
  </si>
  <si>
    <t>시간</t>
  </si>
  <si>
    <t>행사 장소 대관</t>
  </si>
  <si>
    <t>3월 10일</t>
  </si>
  <si>
    <t>정책간담회</t>
  </si>
  <si>
    <t>행사</t>
  </si>
  <si>
    <t>잔액(원)</t>
  </si>
  <si>
    <t>사용액(원)</t>
  </si>
  <si>
    <t>비고</t>
  </si>
  <si>
    <t>총금액</t>
  </si>
  <si>
    <t>단위</t>
  </si>
  <si>
    <t>단위수량</t>
  </si>
  <si>
    <t>단위당 가격(원)</t>
  </si>
  <si>
    <t>내용(산출근거)</t>
  </si>
  <si>
    <r>
      <t xml:space="preserve">집행날짜
</t>
    </r>
    <r>
      <rPr>
        <b/>
        <sz val="8"/>
        <color rgb="FF000000"/>
        <rFont val="나눔고딕"/>
        <family val="3"/>
        <charset val="129"/>
      </rPr>
      <t>(통장거래내역과 동일)</t>
    </r>
  </si>
  <si>
    <t>금 액(원)</t>
  </si>
  <si>
    <t>구분</t>
  </si>
  <si>
    <r>
      <t xml:space="preserve">정산보고서  
 </t>
    </r>
    <r>
      <rPr>
        <sz val="11"/>
        <color rgb="FF0000FF"/>
        <rFont val="나눔고딕"/>
        <family val="3"/>
        <charset val="129"/>
      </rPr>
      <t>※실제 집행된 내용</t>
    </r>
  </si>
  <si>
    <r>
      <rPr>
        <b/>
        <sz val="14"/>
        <color rgb="FF000000"/>
        <rFont val="나눔고딕"/>
        <family val="3"/>
        <charset val="129"/>
      </rPr>
      <t>예산계획서</t>
    </r>
    <r>
      <rPr>
        <b/>
        <sz val="12"/>
        <color rgb="FF000000"/>
        <rFont val="나눔고딕"/>
        <family val="3"/>
        <charset val="129"/>
      </rPr>
      <t xml:space="preserve">
 </t>
    </r>
    <r>
      <rPr>
        <sz val="9"/>
        <color rgb="FF0000FF"/>
        <rFont val="나눔고딕"/>
        <family val="3"/>
        <charset val="129"/>
      </rPr>
      <t xml:space="preserve">※ 지원 당시 또는 승인된 예산변경계획서 </t>
    </r>
  </si>
  <si>
    <t xml:space="preserve">    활동명</t>
  </si>
  <si>
    <t>2024.04.01 - 2024.9.30</t>
  </si>
  <si>
    <t>활동기간</t>
  </si>
  <si>
    <t xml:space="preserve">    팀명</t>
    <phoneticPr fontId="0" type="noConversion"/>
  </si>
  <si>
    <r>
      <rPr>
        <b/>
        <sz val="20"/>
        <color theme="1"/>
        <rFont val="나눔고딕"/>
        <family val="3"/>
        <charset val="129"/>
      </rPr>
      <t>시민아이디어지원사업 풀씨 11기</t>
    </r>
    <r>
      <rPr>
        <b/>
        <sz val="25"/>
        <color theme="1"/>
        <rFont val="나눔고딕"/>
        <family val="3"/>
        <charset val="129"/>
      </rPr>
      <t xml:space="preserve">
활동 정산보고서</t>
    </r>
  </si>
  <si>
    <t>내용</t>
  </si>
  <si>
    <t>거래처명</t>
  </si>
  <si>
    <t>수입/지출금액</t>
  </si>
  <si>
    <t>열1</t>
  </si>
  <si>
    <t>최종 잔액</t>
  </si>
  <si>
    <t>↓지출한 사유를 자세히 적어주세요</t>
  </si>
  <si>
    <t>이자</t>
  </si>
  <si>
    <t>최종 예산에 따라 관/세목/세세목을 정리해주세요.</t>
  </si>
  <si>
    <t>총 지출액</t>
  </si>
  <si>
    <t>네이버페이</t>
  </si>
  <si>
    <t>활동비입금</t>
  </si>
  <si>
    <t>거래일자</t>
  </si>
  <si>
    <t>우산수리교육워크숍</t>
  </si>
  <si>
    <t>활동비</t>
  </si>
  <si>
    <t>이체</t>
  </si>
  <si>
    <t>김풀씨</t>
  </si>
  <si>
    <t>풀씨은행</t>
  </si>
  <si>
    <t>카드</t>
  </si>
  <si>
    <t>풀씨인쇄소</t>
  </si>
  <si>
    <t>캐시백</t>
  </si>
  <si>
    <t>열2</t>
  </si>
  <si>
    <t>열3</t>
  </si>
  <si>
    <t>열4</t>
  </si>
  <si>
    <t xml:space="preserve">    팀명</t>
    <phoneticPr fontId="1" type="noConversion"/>
  </si>
  <si>
    <r>
      <t xml:space="preserve">예산계획서
 </t>
    </r>
    <r>
      <rPr>
        <sz val="11"/>
        <color rgb="FF0000FF"/>
        <rFont val="나눔고딕"/>
        <family val="3"/>
        <charset val="129"/>
      </rPr>
      <t xml:space="preserve">※ 지원 당시 또는 승인된 예산변경계획서 </t>
    </r>
  </si>
  <si>
    <t>쿠팡과자점</t>
  </si>
  <si>
    <t>항</t>
  </si>
  <si>
    <t>Instagram</t>
  </si>
  <si>
    <t>* 90만원 이상시 견적서 제출
*인건비 12만5천 이상시 세금 신고</t>
  </si>
  <si>
    <t>세목1</t>
  </si>
  <si>
    <t>세목2</t>
  </si>
  <si>
    <t>세목3</t>
  </si>
  <si>
    <t>세목4</t>
  </si>
  <si>
    <t>세세목1</t>
  </si>
  <si>
    <t>세세목2</t>
  </si>
  <si>
    <t>세세목3</t>
  </si>
  <si>
    <t>세세목4</t>
  </si>
  <si>
    <t>세세목5</t>
  </si>
  <si>
    <t>세세목6</t>
  </si>
  <si>
    <t>세세목7</t>
  </si>
  <si>
    <t>세세목8</t>
  </si>
  <si>
    <t>세세목9</t>
  </si>
  <si>
    <t>세세목10</t>
  </si>
  <si>
    <t>세목5</t>
  </si>
  <si>
    <t>세목6</t>
  </si>
  <si>
    <t>환급액</t>
  </si>
  <si>
    <t>환급날짜</t>
  </si>
  <si>
    <t>잔액환급여부</t>
  </si>
  <si>
    <t>4/19 행사 홍보물  제작비</t>
  </si>
  <si>
    <t xml:space="preserve">5/15 교육프로그램 위한 가위, 풀 10인용 문구 구입 </t>
  </si>
  <si>
    <t>풀씨문방구</t>
  </si>
  <si>
    <t>쿠팡</t>
  </si>
  <si>
    <t>9/30 행사 강사비(1명)</t>
  </si>
  <si>
    <t>김풀꽃</t>
  </si>
  <si>
    <t>9/30 행사 강사비 세금 신고건</t>
  </si>
  <si>
    <t>재단법인 숲과나눔</t>
  </si>
  <si>
    <t>이체수수료</t>
  </si>
  <si>
    <t>풀씨식당</t>
  </si>
  <si>
    <t>카드 캐시백</t>
  </si>
  <si>
    <t>풀씨호텔</t>
  </si>
  <si>
    <t>KOBUS</t>
  </si>
  <si>
    <t>풀꽃식당</t>
  </si>
  <si>
    <t>풀씨김밥</t>
  </si>
  <si>
    <t>5/15 워크숍 아침 (8명)</t>
  </si>
  <si>
    <t>5/15 워크숍 시외버스 (대구&lt;-&gt;서울) 왕복 8명</t>
  </si>
  <si>
    <t>5/15 워크숍 점심 (8명)</t>
  </si>
  <si>
    <t>5/16 워크숍 아침 (8명 *4,000원)</t>
  </si>
  <si>
    <t>인건비</t>
  </si>
  <si>
    <t>세금신고</t>
  </si>
  <si>
    <t>5/10인터뷰 면담 진행비 20,000*1인</t>
  </si>
  <si>
    <t>워크숍 전 회의 식비 15,000*2인</t>
  </si>
  <si>
    <t>9/30 행사 홍보물 제작 (포스터 및 쇼츠 영상 1종)</t>
  </si>
  <si>
    <t>풀씨홍보</t>
  </si>
  <si>
    <t>견적서 제출</t>
  </si>
  <si>
    <t>9/30 행사 인스타 홍보 (7일 * 30달러)</t>
  </si>
  <si>
    <t>5/8일 행사 다과비(과자 50인분,  음료 50인분)</t>
  </si>
  <si>
    <t>4/19 행사 다과비(과자 100인분,  음료 100인분)</t>
  </si>
  <si>
    <t>팀 활동 홍보물 제작(포스터 1종)</t>
  </si>
  <si>
    <t>5/15 워크숍 숙박비 (8명*3방*1박)</t>
  </si>
  <si>
    <r>
      <rPr>
        <b/>
        <sz val="20"/>
        <color theme="1"/>
        <rFont val="나눔고딕"/>
        <family val="3"/>
        <charset val="129"/>
      </rPr>
      <t>시민아이디어지원사업 풀씨 11기</t>
    </r>
    <r>
      <rPr>
        <b/>
        <sz val="25"/>
        <color theme="1"/>
        <rFont val="나눔고딕"/>
        <family val="3"/>
        <charset val="129"/>
      </rPr>
      <t xml:space="preserve">
활동비지출일별내역
</t>
    </r>
    <r>
      <rPr>
        <b/>
        <sz val="15"/>
        <color theme="1"/>
        <rFont val="나눔고딕"/>
        <family val="3"/>
        <charset val="129"/>
      </rPr>
      <t>&lt;2025.04.01 ∼ 2025.09.30&gt;</t>
    </r>
    <r>
      <rPr>
        <b/>
        <sz val="11"/>
        <color theme="1"/>
        <rFont val="나눔고딕"/>
        <family val="3"/>
        <charset val="129"/>
      </rPr>
      <t xml:space="preserve">
</t>
    </r>
    <r>
      <rPr>
        <b/>
        <sz val="9"/>
        <color rgb="FFFF0000"/>
        <rFont val="나눔고딕"/>
        <family val="3"/>
        <charset val="129"/>
      </rPr>
      <t xml:space="preserve">※ 아래 내용은 예시로 작성했습니다. 참고하시고 삭제하고 작성해주세요. </t>
    </r>
    <r>
      <rPr>
        <b/>
        <sz val="9"/>
        <color theme="1"/>
        <rFont val="나눔고딕"/>
        <family val="3"/>
        <charset val="129"/>
      </rPr>
      <t xml:space="preserve">
(온라인 통장거래내역을 엑셀로 다운받으시면 좀 더 편하게 수정하실 수 있습니다.)</t>
    </r>
  </si>
  <si>
    <r>
      <rPr>
        <b/>
        <sz val="20"/>
        <color theme="1"/>
        <rFont val="나눔고딕"/>
        <family val="3"/>
        <charset val="129"/>
      </rPr>
      <t>시민아이디어지원사업 풀씨 12기</t>
    </r>
    <r>
      <rPr>
        <b/>
        <sz val="25"/>
        <color theme="1"/>
        <rFont val="나눔고딕"/>
        <family val="3"/>
        <charset val="129"/>
      </rPr>
      <t xml:space="preserve">
활동 정산보고서</t>
    </r>
  </si>
  <si>
    <t>2025.04.01 - 09.30</t>
  </si>
  <si>
    <r>
      <rPr>
        <b/>
        <sz val="12"/>
        <color theme="1"/>
        <rFont val="나눔고딕"/>
        <family val="3"/>
        <charset val="129"/>
      </rPr>
      <t xml:space="preserve">* 첨부서류 : 활동비 통장거래내역 1부, 90만원 이상 항목의 견적서
</t>
    </r>
    <r>
      <rPr>
        <sz val="12"/>
        <color theme="1"/>
        <rFont val="나눔고딕"/>
        <family val="3"/>
        <charset val="129"/>
      </rPr>
      <t xml:space="preserve">
활동비 사용기준표에 의하여 위와 같이 활동비 사용내역을 보고합니다.
2025 년     월      일
팀명 또는 개인  :                              (인)
</t>
    </r>
    <r>
      <rPr>
        <b/>
        <sz val="30"/>
        <color theme="1"/>
        <rFont val="나눔고딕"/>
        <family val="3"/>
        <charset val="129"/>
      </rPr>
      <t xml:space="preserve">
(재)숲과나눔 이사장 귀하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</si>
</sst>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m&quot;월&quot;\ d&quot;일&quot;;@"/>
    <numFmt numFmtId="165" formatCode="m&quot;/&quot;d;@"/>
  </numFmts>
  <fonts count="43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8"/>
      <color theme="3"/>
      <name val="Calibri Light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57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b/>
      <sz val="12"/>
      <color theme="1"/>
      <name val="나눔고딕"/>
      <family val="3"/>
      <charset val="129"/>
    </font>
    <font>
      <sz val="12"/>
      <color theme="1"/>
      <name val="나눔고딕"/>
      <family val="3"/>
      <charset val="129"/>
    </font>
    <font>
      <b/>
      <sz val="30"/>
      <color theme="1"/>
      <name val="나눔고딕"/>
      <family val="3"/>
      <charset val="129"/>
    </font>
    <font>
      <b/>
      <sz val="8"/>
      <color rgb="FF000000"/>
      <name val="나눔고딕"/>
      <family val="3"/>
      <charset val="129"/>
    </font>
    <font>
      <sz val="11"/>
      <color rgb="FF0000FF"/>
      <name val="나눔고딕"/>
      <family val="3"/>
      <charset val="129"/>
    </font>
    <font>
      <b/>
      <sz val="14"/>
      <color rgb="FF000000"/>
      <name val="나눔고딕"/>
      <family val="3"/>
      <charset val="129"/>
    </font>
    <font>
      <b/>
      <sz val="12"/>
      <color rgb="FF000000"/>
      <name val="나눔고딕"/>
      <family val="3"/>
      <charset val="129"/>
    </font>
    <font>
      <sz val="9"/>
      <color rgb="FF0000FF"/>
      <name val="나눔고딕"/>
      <family val="3"/>
      <charset val="129"/>
    </font>
    <font>
      <b/>
      <sz val="20"/>
      <color theme="1"/>
      <name val="나눔고딕"/>
      <family val="3"/>
      <charset val="129"/>
    </font>
    <font>
      <b/>
      <sz val="25"/>
      <color theme="1"/>
      <name val="나눔고딕"/>
      <family val="3"/>
      <charset val="129"/>
    </font>
    <font>
      <b/>
      <sz val="15"/>
      <color theme="1"/>
      <name val="나눔고딕"/>
      <family val="3"/>
      <charset val="129"/>
    </font>
    <font>
      <sz val="11"/>
      <name val="나눔고딕"/>
      <family val="3"/>
      <charset val="129"/>
    </font>
    <font>
      <sz val="11"/>
      <color theme="1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b/>
      <sz val="11"/>
      <color theme="1"/>
      <name val="Calibri"/>
      <family val="2"/>
      <scheme val="minor"/>
    </font>
    <font>
      <sz val="11"/>
      <color theme="9" tint="0.79998168889431442"/>
      <name val="Calibri"/>
      <family val="2"/>
      <charset val="129"/>
      <scheme val="minor"/>
    </font>
    <font>
      <sz val="11"/>
      <color theme="2" tint="-0.249977111117893"/>
      <name val="Calibri"/>
      <family val="2"/>
      <charset val="129"/>
      <scheme val="minor"/>
    </font>
    <font>
      <sz val="11"/>
      <color rgb="FF000000"/>
      <name val="나눔고딕"/>
      <family val="3"/>
      <charset val="129"/>
    </font>
    <font>
      <sz val="11"/>
      <color rgb="FFCFE5C0"/>
      <name val="나눔고딕"/>
      <family val="3"/>
      <charset val="129"/>
    </font>
    <font>
      <sz val="11"/>
      <color rgb="FFFF0000"/>
      <name val="나눔고딕"/>
      <family val="3"/>
      <charset val="129"/>
    </font>
    <font>
      <b/>
      <sz val="11"/>
      <color rgb="FF000000"/>
      <name val="나눔고딕"/>
      <family val="3"/>
      <charset val="129"/>
    </font>
    <font>
      <b/>
      <sz val="9"/>
      <color theme="1"/>
      <name val="나눔고딕"/>
      <family val="3"/>
      <charset val="129"/>
    </font>
    <font>
      <b/>
      <sz val="11"/>
      <color rgb="FFCFE5C0"/>
      <name val="나눔고딕"/>
      <family val="3"/>
      <charset val="129"/>
    </font>
    <font>
      <sz val="10"/>
      <color theme="1"/>
      <name val="Calibri"/>
      <family val="2"/>
      <charset val="129"/>
      <scheme val="minor"/>
    </font>
    <font>
      <b/>
      <sz val="9"/>
      <color rgb="FFFF0000"/>
      <name val="나눔고딕"/>
      <family val="3"/>
      <charset val="129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FE5C0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ck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ck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7">
    <xf numFmtId="0" fontId="0" fillId="0" borderId="0" xfId="0"/>
    <xf numFmtId="0" fontId="0" fillId="0" borderId="0" xfId="0" applyAlignment="1">
      <alignment horizontal="center"/>
    </xf>
    <xf numFmtId="0" fontId="32" fillId="33" borderId="10" xfId="0" applyFont="1" applyFill="1" applyBorder="1" applyAlignment="1">
      <alignment horizontal="center"/>
    </xf>
    <xf numFmtId="0" fontId="0" fillId="0" borderId="10" xfId="0" applyBorder="1" applyAlignment="1" applyProtection="1">
      <alignment horizontal="center"/>
      <protection locked="0"/>
    </xf>
    <xf numFmtId="164" fontId="0" fillId="0" borderId="10" xfId="0" applyNumberFormat="1" applyBorder="1" applyAlignment="1" applyProtection="1">
      <alignment horizontal="center" vertical="center"/>
      <protection locked="0"/>
    </xf>
    <xf numFmtId="0" fontId="0" fillId="0" borderId="10" xfId="0" applyBorder="1" applyProtection="1">
      <protection locked="0"/>
    </xf>
    <xf numFmtId="41" fontId="0" fillId="0" borderId="10" xfId="1" applyFont="1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41" fontId="0" fillId="0" borderId="0" xfId="1" applyFont="1" applyProtection="1">
      <protection locked="0"/>
    </xf>
    <xf numFmtId="0" fontId="32" fillId="33" borderId="13" xfId="0" applyFont="1" applyFill="1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32" fillId="33" borderId="10" xfId="0" applyFont="1" applyFill="1" applyBorder="1" applyAlignment="1" applyProtection="1">
      <alignment horizontal="center"/>
      <protection locked="0"/>
    </xf>
    <xf numFmtId="0" fontId="34" fillId="34" borderId="0" xfId="0" applyFont="1" applyFill="1"/>
    <xf numFmtId="0" fontId="0" fillId="0" borderId="10" xfId="0" applyBorder="1" applyAlignment="1" applyProtection="1">
      <alignment vertical="center"/>
      <protection locked="0"/>
    </xf>
    <xf numFmtId="41" fontId="32" fillId="0" borderId="12" xfId="1" applyFont="1" applyBorder="1" applyAlignment="1" applyProtection="1">
      <alignment horizontal="center" vertical="center"/>
    </xf>
    <xf numFmtId="41" fontId="32" fillId="0" borderId="10" xfId="1" applyFont="1" applyBorder="1" applyAlignment="1" applyProtection="1">
      <alignment horizontal="center" vertical="center"/>
    </xf>
    <xf numFmtId="0" fontId="32" fillId="33" borderId="13" xfId="0" applyFont="1" applyFill="1" applyBorder="1" applyAlignment="1">
      <alignment horizontal="center"/>
    </xf>
    <xf numFmtId="41" fontId="0" fillId="0" borderId="10" xfId="1" applyFont="1" applyBorder="1" applyProtection="1"/>
    <xf numFmtId="0" fontId="18" fillId="35" borderId="10" xfId="0" applyFont="1" applyFill="1" applyBorder="1" applyAlignment="1" applyProtection="1">
      <alignment horizontal="center" vertical="center"/>
      <protection locked="0"/>
    </xf>
    <xf numFmtId="0" fontId="19" fillId="36" borderId="21" xfId="0" applyFont="1" applyFill="1" applyBorder="1" applyAlignment="1" applyProtection="1">
      <alignment horizontal="left" vertical="center" indent="1"/>
      <protection locked="0"/>
    </xf>
    <xf numFmtId="0" fontId="18" fillId="35" borderId="10" xfId="0" applyFont="1" applyFill="1" applyBorder="1" applyAlignment="1" applyProtection="1">
      <alignment horizontal="center" vertical="center" wrapText="1"/>
      <protection locked="0"/>
    </xf>
    <xf numFmtId="0" fontId="38" fillId="37" borderId="10" xfId="0" applyFont="1" applyFill="1" applyBorder="1" applyAlignment="1" applyProtection="1">
      <alignment horizontal="center" vertical="center" wrapText="1"/>
      <protection locked="0"/>
    </xf>
    <xf numFmtId="41" fontId="38" fillId="0" borderId="45" xfId="1" applyFont="1" applyBorder="1" applyAlignment="1" applyProtection="1">
      <alignment horizontal="center" vertical="center" wrapText="1"/>
      <protection locked="0"/>
    </xf>
    <xf numFmtId="0" fontId="31" fillId="37" borderId="63" xfId="0" applyFont="1" applyFill="1" applyBorder="1" applyAlignment="1" applyProtection="1">
      <alignment horizontal="center" vertical="center"/>
      <protection locked="0"/>
    </xf>
    <xf numFmtId="0" fontId="30" fillId="0" borderId="62" xfId="0" applyFont="1" applyBorder="1" applyAlignment="1" applyProtection="1">
      <alignment vertical="center" wrapText="1"/>
      <protection locked="0"/>
    </xf>
    <xf numFmtId="41" fontId="30" fillId="0" borderId="13" xfId="1" applyFont="1" applyBorder="1" applyAlignment="1" applyProtection="1">
      <alignment horizontal="center" vertical="center"/>
    </xf>
    <xf numFmtId="41" fontId="31" fillId="37" borderId="56" xfId="1" applyFont="1" applyFill="1" applyBorder="1" applyAlignment="1" applyProtection="1">
      <alignment horizontal="left" vertical="center"/>
    </xf>
    <xf numFmtId="41" fontId="30" fillId="0" borderId="20" xfId="1" applyFont="1" applyBorder="1" applyAlignment="1" applyProtection="1">
      <alignment horizontal="left" vertical="center"/>
    </xf>
    <xf numFmtId="41" fontId="31" fillId="37" borderId="65" xfId="1" applyFont="1" applyFill="1" applyBorder="1" applyAlignment="1" applyProtection="1">
      <alignment horizontal="left" vertical="center"/>
    </xf>
    <xf numFmtId="41" fontId="31" fillId="0" borderId="64" xfId="1" applyFont="1" applyFill="1" applyBorder="1" applyAlignment="1" applyProtection="1">
      <alignment horizontal="center" vertical="center"/>
    </xf>
    <xf numFmtId="41" fontId="38" fillId="0" borderId="46" xfId="1" applyFont="1" applyBorder="1" applyAlignment="1" applyProtection="1">
      <alignment horizontal="center" vertical="center" wrapText="1"/>
    </xf>
    <xf numFmtId="41" fontId="38" fillId="37" borderId="55" xfId="1" applyFont="1" applyFill="1" applyBorder="1" applyAlignment="1" applyProtection="1">
      <alignment horizontal="center" vertical="center" wrapText="1"/>
    </xf>
    <xf numFmtId="0" fontId="35" fillId="0" borderId="67" xfId="0" quotePrefix="1" applyFont="1" applyBorder="1" applyAlignment="1" applyProtection="1">
      <alignment horizontal="left" vertical="center" wrapText="1"/>
      <protection locked="0"/>
    </xf>
    <xf numFmtId="41" fontId="38" fillId="0" borderId="68" xfId="1" applyFont="1" applyBorder="1" applyAlignment="1" applyProtection="1">
      <alignment horizontal="center" vertical="center" wrapText="1"/>
      <protection locked="0"/>
    </xf>
    <xf numFmtId="0" fontId="35" fillId="0" borderId="69" xfId="0" quotePrefix="1" applyFont="1" applyBorder="1" applyAlignment="1" applyProtection="1">
      <alignment horizontal="left" vertical="center" wrapText="1"/>
      <protection locked="0"/>
    </xf>
    <xf numFmtId="41" fontId="38" fillId="0" borderId="70" xfId="1" applyFont="1" applyBorder="1" applyAlignment="1" applyProtection="1">
      <alignment horizontal="center" vertical="center" wrapText="1"/>
      <protection locked="0"/>
    </xf>
    <xf numFmtId="0" fontId="38" fillId="37" borderId="37" xfId="0" applyFont="1" applyFill="1" applyBorder="1" applyAlignment="1" applyProtection="1">
      <alignment horizontal="center" vertical="center" wrapText="1"/>
      <protection locked="0"/>
    </xf>
    <xf numFmtId="0" fontId="0" fillId="0" borderId="13" xfId="0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10" xfId="0" quotePrefix="1" applyBorder="1" applyAlignment="1" applyProtection="1">
      <alignment vertical="center"/>
      <protection locked="0"/>
    </xf>
    <xf numFmtId="0" fontId="0" fillId="0" borderId="10" xfId="0" applyBorder="1" applyAlignment="1" applyProtection="1">
      <alignment vertical="center" wrapText="1"/>
      <protection locked="0"/>
    </xf>
    <xf numFmtId="41" fontId="0" fillId="0" borderId="10" xfId="1" applyFont="1" applyBorder="1" applyAlignment="1" applyProtection="1">
      <alignment horizontal="center"/>
      <protection locked="0"/>
    </xf>
    <xf numFmtId="0" fontId="29" fillId="0" borderId="66" xfId="0" quotePrefix="1" applyFont="1" applyBorder="1" applyAlignment="1" applyProtection="1">
      <alignment horizontal="left" vertical="center" wrapText="1"/>
      <protection locked="0"/>
    </xf>
    <xf numFmtId="0" fontId="30" fillId="0" borderId="10" xfId="0" applyFont="1" applyBorder="1" applyAlignment="1">
      <alignment horizontal="center" vertical="center"/>
    </xf>
    <xf numFmtId="0" fontId="31" fillId="37" borderId="57" xfId="0" applyFont="1" applyFill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31" fillId="37" borderId="42" xfId="0" applyFont="1" applyFill="1" applyBorder="1" applyAlignment="1">
      <alignment horizontal="center" vertical="center" wrapText="1"/>
    </xf>
    <xf numFmtId="0" fontId="35" fillId="37" borderId="46" xfId="0" applyFont="1" applyFill="1" applyBorder="1"/>
    <xf numFmtId="0" fontId="36" fillId="37" borderId="47" xfId="0" applyFont="1" applyFill="1" applyBorder="1"/>
    <xf numFmtId="0" fontId="31" fillId="37" borderId="48" xfId="0" applyFont="1" applyFill="1" applyBorder="1" applyAlignment="1">
      <alignment horizontal="center" vertical="center"/>
    </xf>
    <xf numFmtId="0" fontId="31" fillId="37" borderId="28" xfId="0" applyFont="1" applyFill="1" applyBorder="1" applyAlignment="1">
      <alignment vertical="center"/>
    </xf>
    <xf numFmtId="0" fontId="38" fillId="0" borderId="54" xfId="0" applyFont="1" applyBorder="1" applyAlignment="1">
      <alignment horizontal="center" vertical="center" wrapText="1"/>
    </xf>
    <xf numFmtId="0" fontId="31" fillId="37" borderId="28" xfId="0" applyFont="1" applyFill="1" applyBorder="1"/>
    <xf numFmtId="0" fontId="31" fillId="37" borderId="29" xfId="0" applyFont="1" applyFill="1" applyBorder="1"/>
    <xf numFmtId="0" fontId="40" fillId="37" borderId="29" xfId="0" applyFont="1" applyFill="1" applyBorder="1" applyAlignment="1">
      <alignment horizontal="center"/>
    </xf>
    <xf numFmtId="0" fontId="38" fillId="37" borderId="34" xfId="0" applyFont="1" applyFill="1" applyBorder="1" applyAlignment="1">
      <alignment horizontal="center" vertical="center" wrapText="1"/>
    </xf>
    <xf numFmtId="0" fontId="38" fillId="37" borderId="35" xfId="0" applyFont="1" applyFill="1" applyBorder="1" applyAlignment="1">
      <alignment horizontal="center" vertical="center" wrapText="1"/>
    </xf>
    <xf numFmtId="0" fontId="33" fillId="33" borderId="19" xfId="0" applyFont="1" applyFill="1" applyBorder="1" applyAlignment="1" applyProtection="1">
      <alignment horizontal="center"/>
      <protection locked="0"/>
    </xf>
    <xf numFmtId="0" fontId="33" fillId="33" borderId="20" xfId="0" applyFont="1" applyFill="1" applyBorder="1" applyAlignment="1" applyProtection="1">
      <alignment horizontal="center"/>
      <protection locked="0"/>
    </xf>
    <xf numFmtId="0" fontId="32" fillId="33" borderId="15" xfId="0" applyFont="1" applyFill="1" applyBorder="1" applyAlignment="1">
      <alignment horizontal="center" vertical="center"/>
    </xf>
    <xf numFmtId="0" fontId="32" fillId="33" borderId="13" xfId="0" applyFont="1" applyFill="1" applyBorder="1" applyAlignment="1">
      <alignment horizontal="center" vertical="center"/>
    </xf>
    <xf numFmtId="0" fontId="38" fillId="37" borderId="36" xfId="0" applyFont="1" applyFill="1" applyBorder="1" applyAlignment="1" applyProtection="1">
      <alignment horizontal="center" vertical="center" wrapText="1"/>
      <protection locked="0"/>
    </xf>
    <xf numFmtId="0" fontId="30" fillId="0" borderId="33" xfId="0" quotePrefix="1" applyFont="1" applyBorder="1" applyAlignment="1" applyProtection="1">
      <alignment horizontal="left" vertical="center" wrapText="1"/>
      <protection locked="0"/>
    </xf>
    <xf numFmtId="41" fontId="38" fillId="0" borderId="74" xfId="1" applyFont="1" applyBorder="1" applyAlignment="1" applyProtection="1">
      <alignment horizontal="center" vertical="center" wrapText="1"/>
      <protection locked="0"/>
    </xf>
    <xf numFmtId="41" fontId="30" fillId="0" borderId="36" xfId="1" applyFont="1" applyBorder="1" applyAlignment="1" applyProtection="1">
      <alignment horizontal="center" vertical="center"/>
    </xf>
    <xf numFmtId="0" fontId="30" fillId="0" borderId="36" xfId="0" applyFont="1" applyBorder="1" applyAlignment="1">
      <alignment horizontal="center" vertical="center"/>
    </xf>
    <xf numFmtId="0" fontId="29" fillId="0" borderId="15" xfId="0" quotePrefix="1" applyFont="1" applyBorder="1" applyAlignment="1" applyProtection="1">
      <alignment horizontal="left" vertical="center" wrapText="1"/>
      <protection locked="0"/>
    </xf>
    <xf numFmtId="41" fontId="38" fillId="0" borderId="75" xfId="1" applyFont="1" applyBorder="1" applyAlignment="1" applyProtection="1">
      <alignment horizontal="center" vertical="center" wrapText="1"/>
      <protection locked="0"/>
    </xf>
    <xf numFmtId="0" fontId="38" fillId="37" borderId="19" xfId="0" applyFont="1" applyFill="1" applyBorder="1" applyAlignment="1" applyProtection="1">
      <alignment horizontal="center" vertical="center" wrapText="1"/>
      <protection locked="0"/>
    </xf>
    <xf numFmtId="0" fontId="35" fillId="0" borderId="16" xfId="0" quotePrefix="1" applyFont="1" applyBorder="1" applyAlignment="1" applyProtection="1">
      <alignment horizontal="left" vertical="center" wrapText="1"/>
      <protection locked="0"/>
    </xf>
    <xf numFmtId="0" fontId="37" fillId="37" borderId="37" xfId="0" applyFont="1" applyFill="1" applyBorder="1" applyAlignment="1">
      <alignment horizontal="center" vertical="center"/>
    </xf>
    <xf numFmtId="0" fontId="29" fillId="37" borderId="37" xfId="0" applyFont="1" applyFill="1" applyBorder="1" applyAlignment="1">
      <alignment horizontal="center" vertical="center"/>
    </xf>
    <xf numFmtId="41" fontId="29" fillId="0" borderId="24" xfId="1" applyFont="1" applyFill="1" applyBorder="1" applyAlignment="1">
      <alignment horizontal="center" vertical="center"/>
    </xf>
    <xf numFmtId="0" fontId="29" fillId="37" borderId="10" xfId="0" applyFont="1" applyFill="1" applyBorder="1" applyAlignment="1">
      <alignment horizontal="center" vertical="center" wrapText="1"/>
    </xf>
    <xf numFmtId="0" fontId="31" fillId="33" borderId="0" xfId="0" applyFont="1" applyFill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32" fillId="33" borderId="14" xfId="0" applyFont="1" applyFill="1" applyBorder="1" applyAlignment="1" applyProtection="1">
      <alignment horizontal="center" vertical="center"/>
      <protection locked="0"/>
    </xf>
    <xf numFmtId="0" fontId="32" fillId="33" borderId="11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Protection="1">
      <protection locked="0"/>
    </xf>
    <xf numFmtId="0" fontId="41" fillId="33" borderId="17" xfId="0" applyFont="1" applyFill="1" applyBorder="1" applyAlignment="1">
      <alignment horizontal="left" wrapText="1"/>
    </xf>
    <xf numFmtId="0" fontId="41" fillId="33" borderId="18" xfId="0" applyFont="1" applyFill="1" applyBorder="1" applyAlignment="1">
      <alignment horizontal="left" wrapText="1"/>
    </xf>
    <xf numFmtId="0" fontId="41" fillId="33" borderId="14" xfId="0" applyFont="1" applyFill="1" applyBorder="1" applyAlignment="1">
      <alignment horizontal="left" wrapText="1"/>
    </xf>
    <xf numFmtId="0" fontId="41" fillId="33" borderId="15" xfId="0" applyFont="1" applyFill="1" applyBorder="1" applyAlignment="1">
      <alignment horizontal="left" wrapText="1"/>
    </xf>
    <xf numFmtId="1" fontId="31" fillId="0" borderId="0" xfId="0" applyNumberFormat="1" applyFont="1" applyAlignment="1">
      <alignment horizontal="center" vertical="center" wrapText="1"/>
    </xf>
    <xf numFmtId="1" fontId="30" fillId="0" borderId="0" xfId="0" applyNumberFormat="1" applyFont="1" applyAlignment="1">
      <alignment horizontal="center" vertical="center"/>
    </xf>
    <xf numFmtId="0" fontId="31" fillId="37" borderId="47" xfId="0" applyFont="1" applyFill="1" applyBorder="1" applyAlignment="1">
      <alignment horizontal="center" vertical="center"/>
    </xf>
    <xf numFmtId="0" fontId="38" fillId="37" borderId="51" xfId="0" applyFont="1" applyFill="1" applyBorder="1" applyAlignment="1">
      <alignment horizontal="center" vertical="center" wrapText="1"/>
    </xf>
    <xf numFmtId="0" fontId="38" fillId="37" borderId="30" xfId="0" applyFont="1" applyFill="1" applyBorder="1" applyAlignment="1">
      <alignment horizontal="center" vertical="center" wrapText="1"/>
    </xf>
    <xf numFmtId="0" fontId="38" fillId="37" borderId="31" xfId="0" applyFont="1" applyFill="1" applyBorder="1" applyAlignment="1">
      <alignment horizontal="center" vertical="center" wrapText="1"/>
    </xf>
    <xf numFmtId="0" fontId="38" fillId="37" borderId="32" xfId="0" applyFont="1" applyFill="1" applyBorder="1" applyAlignment="1">
      <alignment horizontal="center" vertical="center" wrapText="1"/>
    </xf>
    <xf numFmtId="0" fontId="38" fillId="37" borderId="33" xfId="0" applyFont="1" applyFill="1" applyBorder="1" applyAlignment="1">
      <alignment horizontal="center" vertical="center" wrapText="1"/>
    </xf>
    <xf numFmtId="0" fontId="38" fillId="37" borderId="36" xfId="0" applyFont="1" applyFill="1" applyBorder="1" applyAlignment="1">
      <alignment horizontal="center" vertical="center" wrapText="1"/>
    </xf>
    <xf numFmtId="0" fontId="38" fillId="37" borderId="37" xfId="0" applyFont="1" applyFill="1" applyBorder="1" applyAlignment="1">
      <alignment horizontal="center" vertical="center" wrapText="1"/>
    </xf>
    <xf numFmtId="0" fontId="38" fillId="37" borderId="43" xfId="0" applyFont="1" applyFill="1" applyBorder="1" applyAlignment="1">
      <alignment horizontal="center" vertical="center" wrapText="1"/>
    </xf>
    <xf numFmtId="0" fontId="38" fillId="37" borderId="44" xfId="0" applyFont="1" applyFill="1" applyBorder="1" applyAlignment="1">
      <alignment horizontal="center" vertical="center" wrapText="1"/>
    </xf>
    <xf numFmtId="0" fontId="38" fillId="37" borderId="38" xfId="0" applyFont="1" applyFill="1" applyBorder="1" applyAlignment="1">
      <alignment horizontal="center" vertical="center" wrapText="1"/>
    </xf>
    <xf numFmtId="0" fontId="38" fillId="37" borderId="39" xfId="0" applyFont="1" applyFill="1" applyBorder="1" applyAlignment="1">
      <alignment horizontal="center" vertical="center" wrapText="1"/>
    </xf>
    <xf numFmtId="0" fontId="38" fillId="37" borderId="40" xfId="0" applyFont="1" applyFill="1" applyBorder="1" applyAlignment="1">
      <alignment horizontal="center" vertical="center" wrapText="1"/>
    </xf>
    <xf numFmtId="0" fontId="38" fillId="37" borderId="41" xfId="0" applyFont="1" applyFill="1" applyBorder="1" applyAlignment="1">
      <alignment horizontal="center" vertical="center" wrapText="1"/>
    </xf>
    <xf numFmtId="0" fontId="38" fillId="37" borderId="29" xfId="0" applyFont="1" applyFill="1" applyBorder="1" applyAlignment="1">
      <alignment horizontal="center" vertical="center" wrapText="1"/>
    </xf>
    <xf numFmtId="0" fontId="38" fillId="37" borderId="42" xfId="0" applyFont="1" applyFill="1" applyBorder="1" applyAlignment="1">
      <alignment horizontal="center" vertical="center" wrapText="1"/>
    </xf>
    <xf numFmtId="0" fontId="30" fillId="0" borderId="71" xfId="0" applyFont="1" applyBorder="1" applyAlignment="1">
      <alignment vertical="center" wrapText="1"/>
    </xf>
    <xf numFmtId="0" fontId="30" fillId="0" borderId="16" xfId="0" applyFont="1" applyBorder="1" applyAlignment="1">
      <alignment vertical="center" wrapText="1"/>
    </xf>
    <xf numFmtId="0" fontId="30" fillId="0" borderId="15" xfId="0" applyFont="1" applyBorder="1" applyAlignment="1">
      <alignment vertical="center" wrapText="1"/>
    </xf>
    <xf numFmtId="0" fontId="18" fillId="35" borderId="10" xfId="0" applyFont="1" applyFill="1" applyBorder="1" applyAlignment="1" applyProtection="1">
      <alignment horizontal="center" vertical="center"/>
      <protection locked="0"/>
    </xf>
    <xf numFmtId="0" fontId="19" fillId="36" borderId="21" xfId="0" applyFont="1" applyFill="1" applyBorder="1" applyAlignment="1" applyProtection="1">
      <alignment horizontal="left" vertical="center" wrapText="1"/>
      <protection locked="0"/>
    </xf>
    <xf numFmtId="0" fontId="19" fillId="36" borderId="12" xfId="0" applyFont="1" applyFill="1" applyBorder="1" applyAlignment="1" applyProtection="1">
      <alignment horizontal="left" vertical="center" wrapText="1"/>
      <protection locked="0"/>
    </xf>
    <xf numFmtId="0" fontId="19" fillId="36" borderId="21" xfId="0" applyFont="1" applyFill="1" applyBorder="1" applyAlignment="1" applyProtection="1">
      <alignment horizontal="center" vertical="center" wrapText="1"/>
      <protection locked="0"/>
    </xf>
    <xf numFmtId="0" fontId="19" fillId="36" borderId="22" xfId="0" applyFont="1" applyFill="1" applyBorder="1" applyAlignment="1" applyProtection="1">
      <alignment horizontal="center" vertical="center" wrapText="1"/>
      <protection locked="0"/>
    </xf>
    <xf numFmtId="0" fontId="38" fillId="37" borderId="49" xfId="0" applyFont="1" applyFill="1" applyBorder="1" applyAlignment="1">
      <alignment horizontal="center" vertical="center" wrapText="1"/>
    </xf>
    <xf numFmtId="0" fontId="38" fillId="37" borderId="47" xfId="0" applyFont="1" applyFill="1" applyBorder="1" applyAlignment="1">
      <alignment horizontal="center" vertical="center" wrapText="1"/>
    </xf>
    <xf numFmtId="0" fontId="38" fillId="37" borderId="50" xfId="0" applyFont="1" applyFill="1" applyBorder="1" applyAlignment="1">
      <alignment horizontal="center" vertical="center" wrapText="1"/>
    </xf>
    <xf numFmtId="0" fontId="18" fillId="35" borderId="23" xfId="0" applyFont="1" applyFill="1" applyBorder="1" applyAlignment="1" applyProtection="1">
      <alignment horizontal="center" vertical="center"/>
      <protection locked="0"/>
    </xf>
    <xf numFmtId="0" fontId="18" fillId="35" borderId="24" xfId="0" applyFont="1" applyFill="1" applyBorder="1" applyAlignment="1" applyProtection="1">
      <alignment horizontal="center" vertical="center"/>
      <protection locked="0"/>
    </xf>
    <xf numFmtId="0" fontId="19" fillId="36" borderId="25" xfId="0" applyFont="1" applyFill="1" applyBorder="1" applyAlignment="1" applyProtection="1">
      <alignment horizontal="center" vertical="center" wrapText="1"/>
      <protection locked="0"/>
    </xf>
    <xf numFmtId="0" fontId="19" fillId="36" borderId="26" xfId="0" applyFont="1" applyFill="1" applyBorder="1" applyAlignment="1" applyProtection="1">
      <alignment horizontal="center" vertical="center" wrapText="1"/>
      <protection locked="0"/>
    </xf>
    <xf numFmtId="0" fontId="19" fillId="36" borderId="27" xfId="0" applyFont="1" applyFill="1" applyBorder="1" applyAlignment="1" applyProtection="1">
      <alignment horizontal="center" vertical="center" wrapText="1"/>
      <protection locked="0"/>
    </xf>
    <xf numFmtId="0" fontId="38" fillId="37" borderId="48" xfId="0" applyFont="1" applyFill="1" applyBorder="1" applyAlignment="1">
      <alignment horizontal="center" vertical="center" wrapText="1"/>
    </xf>
    <xf numFmtId="0" fontId="38" fillId="37" borderId="10" xfId="0" applyFont="1" applyFill="1" applyBorder="1" applyAlignment="1" applyProtection="1">
      <alignment horizontal="center" vertical="center" wrapText="1"/>
      <protection locked="0"/>
    </xf>
    <xf numFmtId="165" fontId="29" fillId="0" borderId="25" xfId="0" applyNumberFormat="1" applyFont="1" applyBorder="1" applyAlignment="1" applyProtection="1">
      <alignment horizontal="center" vertical="center"/>
      <protection locked="0"/>
    </xf>
    <xf numFmtId="165" fontId="29" fillId="0" borderId="27" xfId="0" applyNumberFormat="1" applyFont="1" applyBorder="1" applyAlignment="1" applyProtection="1">
      <alignment horizontal="center" vertical="center"/>
      <protection locked="0"/>
    </xf>
    <xf numFmtId="0" fontId="31" fillId="37" borderId="72" xfId="0" applyFont="1" applyFill="1" applyBorder="1" applyAlignment="1">
      <alignment horizontal="center" vertical="center"/>
    </xf>
    <xf numFmtId="0" fontId="31" fillId="37" borderId="46" xfId="0" applyFont="1" applyFill="1" applyBorder="1" applyAlignment="1" applyProtection="1">
      <alignment horizontal="center" vertical="center"/>
      <protection locked="0"/>
    </xf>
    <xf numFmtId="0" fontId="31" fillId="37" borderId="73" xfId="0" applyFont="1" applyFill="1" applyBorder="1" applyAlignment="1" applyProtection="1">
      <alignment horizontal="center" vertical="center"/>
      <protection locked="0"/>
    </xf>
    <xf numFmtId="0" fontId="38" fillId="37" borderId="52" xfId="0" applyFont="1" applyFill="1" applyBorder="1" applyAlignment="1">
      <alignment horizontal="center" vertical="center" wrapText="1"/>
    </xf>
    <xf numFmtId="0" fontId="38" fillId="37" borderId="53" xfId="0" applyFont="1" applyFill="1" applyBorder="1" applyAlignment="1">
      <alignment horizontal="center" vertical="center" wrapText="1"/>
    </xf>
    <xf numFmtId="0" fontId="30" fillId="0" borderId="61" xfId="0" applyFont="1" applyBorder="1" applyAlignment="1">
      <alignment vertical="center" wrapText="1"/>
    </xf>
    <xf numFmtId="0" fontId="30" fillId="0" borderId="21" xfId="0" applyFont="1" applyBorder="1" applyAlignment="1">
      <alignment vertical="center" wrapText="1"/>
    </xf>
    <xf numFmtId="0" fontId="30" fillId="0" borderId="12" xfId="0" applyFont="1" applyBorder="1" applyAlignment="1">
      <alignment vertical="center" wrapText="1"/>
    </xf>
    <xf numFmtId="0" fontId="29" fillId="37" borderId="76" xfId="0" applyFont="1" applyFill="1" applyBorder="1" applyAlignment="1">
      <alignment horizontal="center" vertical="center"/>
    </xf>
    <xf numFmtId="0" fontId="29" fillId="37" borderId="59" xfId="0" applyFont="1" applyFill="1" applyBorder="1" applyAlignment="1">
      <alignment horizontal="center" vertical="center"/>
    </xf>
    <xf numFmtId="0" fontId="29" fillId="37" borderId="77" xfId="0" applyFont="1" applyFill="1" applyBorder="1" applyAlignment="1">
      <alignment horizontal="center" vertical="center"/>
    </xf>
    <xf numFmtId="0" fontId="30" fillId="0" borderId="0" xfId="0" applyFont="1" applyAlignment="1" applyProtection="1">
      <alignment horizontal="center" vertical="center" wrapText="1"/>
      <protection locked="0"/>
    </xf>
    <xf numFmtId="0" fontId="30" fillId="0" borderId="0" xfId="0" applyFont="1" applyAlignment="1" applyProtection="1">
      <alignment horizontal="center" vertical="center"/>
      <protection locked="0"/>
    </xf>
    <xf numFmtId="0" fontId="30" fillId="0" borderId="58" xfId="0" applyFont="1" applyBorder="1" applyAlignment="1">
      <alignment vertical="center" wrapText="1"/>
    </xf>
    <xf numFmtId="0" fontId="30" fillId="0" borderId="59" xfId="0" applyFont="1" applyBorder="1" applyAlignment="1">
      <alignment vertical="center" wrapText="1"/>
    </xf>
    <xf numFmtId="0" fontId="30" fillId="0" borderId="60" xfId="0" applyFont="1" applyBorder="1" applyAlignment="1">
      <alignment vertical="center" wrapText="1"/>
    </xf>
    <xf numFmtId="0" fontId="38" fillId="37" borderId="39" xfId="0" applyFont="1" applyFill="1" applyBorder="1" applyAlignment="1" applyProtection="1">
      <alignment horizontal="center" vertical="center" wrapText="1"/>
      <protection locked="0"/>
    </xf>
    <xf numFmtId="0" fontId="38" fillId="37" borderId="0" xfId="0" applyFont="1" applyFill="1" applyAlignment="1" applyProtection="1">
      <alignment horizontal="center" vertical="center" wrapText="1"/>
      <protection locked="0"/>
    </xf>
    <xf numFmtId="0" fontId="38" fillId="37" borderId="29" xfId="0" applyFont="1" applyFill="1" applyBorder="1" applyAlignment="1" applyProtection="1">
      <alignment horizontal="center" vertical="center" wrapText="1"/>
      <protection locked="0"/>
    </xf>
    <xf numFmtId="0" fontId="31" fillId="37" borderId="48" xfId="0" applyFont="1" applyFill="1" applyBorder="1" applyAlignment="1">
      <alignment horizontal="center" vertical="center"/>
    </xf>
    <xf numFmtId="0" fontId="38" fillId="37" borderId="19" xfId="0" applyFont="1" applyFill="1" applyBorder="1" applyAlignment="1" applyProtection="1">
      <alignment horizontal="center" vertical="center" wrapText="1"/>
      <protection locked="0"/>
    </xf>
    <xf numFmtId="0" fontId="38" fillId="37" borderId="20" xfId="0" applyFont="1" applyFill="1" applyBorder="1" applyAlignment="1" applyProtection="1">
      <alignment horizontal="center" vertical="center" wrapText="1"/>
      <protection locked="0"/>
    </xf>
    <xf numFmtId="0" fontId="38" fillId="37" borderId="13" xfId="0" applyFont="1" applyFill="1" applyBorder="1" applyAlignment="1" applyProtection="1">
      <alignment horizontal="center" vertical="center" wrapText="1"/>
      <protection locked="0"/>
    </xf>
    <xf numFmtId="0" fontId="0" fillId="0" borderId="0" xfId="0"/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12">
    <dxf>
      <font>
        <strike val="0"/>
        <outline val="0"/>
        <shadow val="0"/>
        <u val="none"/>
        <vertAlign val="baseline"/>
        <sz val="11"/>
        <color theme="2" tint="-0.249977111117893"/>
        <name val="Calibri"/>
        <family val="2"/>
        <charset val="129"/>
        <scheme val="minor"/>
      </font>
      <fill>
        <patternFill patternType="solid">
          <fgColor indexed="64"/>
          <bgColor theme="1"/>
        </patternFill>
      </fill>
      <protection locked="1" hidden="0"/>
    </dxf>
    <dxf>
      <protection locked="0" hidden="0"/>
    </dxf>
    <dxf>
      <alignment horizontal="center" textRotation="0" indent="0" justifyLastLine="0" shrinkToFit="0" readingOrder="0"/>
      <protection locked="0" hidden="0"/>
    </dxf>
    <dxf>
      <protection locked="0" hidden="0"/>
    </dxf>
    <dxf>
      <protection locked="0" hidden="0"/>
    </dxf>
    <dxf>
      <alignment horizontal="center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indent="0" justifyLastLine="0" shrinkToFit="0" readingOrder="0"/>
      <protection locked="0" hidden="0"/>
    </dxf>
    <dxf>
      <protection locked="0" hidden="0"/>
    </dxf>
  </dxfs>
  <tableStyles count="0" defaultTableStyle="TableStyleMedium2" defaultPivotStyle="PivotStyleLight16"/>
  <colors>
    <mruColors>
      <color rgb="FFCFE5C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642257</xdr:colOff>
      <xdr:row>0</xdr:row>
      <xdr:rowOff>136072</xdr:rowOff>
    </xdr:from>
    <xdr:ext cx="1239737" cy="280041"/>
    <xdr:pic>
      <xdr:nvPicPr>
        <xdr:cNvPr id="2" name="Picture 1">
          <a:extLst>
            <a:ext uri="{FF2B5EF4-FFF2-40B4-BE49-F238E27FC236}">
              <a16:creationId xmlns:a16="http://schemas.microsoft.com/office/drawing/2014/main" id="{6123A039-E7AB-4B4D-8AC2-4043CD76A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6657" y="136072"/>
          <a:ext cx="1239737" cy="280041"/>
        </a:xfrm>
        <a:prstGeom prst="rect">
          <a:avLst/>
        </a:prstGeom>
        <a:noFill/>
        <a:ln>
          <a:noFill/>
        </a:ln>
        <a:effectLst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642257</xdr:colOff>
      <xdr:row>0</xdr:row>
      <xdr:rowOff>250372</xdr:rowOff>
    </xdr:from>
    <xdr:ext cx="1239737" cy="280041"/>
    <xdr:pic>
      <xdr:nvPicPr>
        <xdr:cNvPr id="2" name="Picture 1">
          <a:extLst>
            <a:ext uri="{FF2B5EF4-FFF2-40B4-BE49-F238E27FC236}">
              <a16:creationId xmlns:a16="http://schemas.microsoft.com/office/drawing/2014/main" id="{47F1A2D5-F986-4812-B9D3-1CC2C348E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31237" y="250372"/>
          <a:ext cx="1239737" cy="280041"/>
        </a:xfrm>
        <a:prstGeom prst="rect">
          <a:avLst/>
        </a:prstGeom>
        <a:noFill/>
        <a:ln>
          <a:noFill/>
        </a:ln>
        <a:effectLst/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2EF3B9-6038-42EB-99D0-B8A0A2307388}" name="표1" displayName="표1" ref="A6:K248" totalsRowShown="0" dataDxfId="11">
  <autoFilter ref="A6:K248" xr:uid="{CE54625B-8CD3-41AE-B48F-32E968B871A6}"/>
  <sortState xmlns:xlrd2="http://schemas.microsoft.com/office/spreadsheetml/2017/richdata2" ref="A7:K248">
    <sortCondition ref="A6:A248"/>
  </sortState>
  <tableColumns count="11">
    <tableColumn id="2" xr3:uid="{557A8BBB-341E-49BA-B8D1-F21D2E2FC1B6}" name="순서" dataDxfId="10"/>
    <tableColumn id="3" xr3:uid="{F98DC80C-EB22-45A1-B935-A56BCA1E5B1D}" name="항" dataDxfId="9"/>
    <tableColumn id="5" xr3:uid="{F053E31C-C811-4203-9F3F-190AB8EF51FB}" name="세세목" dataDxfId="8"/>
    <tableColumn id="6" xr3:uid="{7D0B75D8-1B4A-4875-86E8-22CD87B0933A}" name="거래일자" dataDxfId="7"/>
    <tableColumn id="7" xr3:uid="{8DCF93BD-FD61-4F8D-A72B-2EB1E174979A}" name="내용" dataDxfId="6"/>
    <tableColumn id="8" xr3:uid="{0A3CBA31-0017-4A52-B71D-7CDC1E92CE1D}" name="거래처명" dataDxfId="5"/>
    <tableColumn id="10" xr3:uid="{91220B00-D86A-4AFD-A21B-B818135027C0}" name="수입/지출금액" dataDxfId="4"/>
    <tableColumn id="11" xr3:uid="{FC1B3561-1CAE-48E5-9B9C-1AA3B9B90E95}" name="잔액" dataDxfId="3" dataCellStyle="쉼표 [0]">
      <calculatedColumnFormula>H6+#REF!-G7</calculatedColumnFormula>
    </tableColumn>
    <tableColumn id="12" xr3:uid="{27E077DB-F8AA-4676-B8F0-664B54D693E1}" name="구분" dataDxfId="2" dataCellStyle="쉼표 [0]"/>
    <tableColumn id="14" xr3:uid="{49ADD8AC-A6DD-4BE4-82DE-82DA72987E46}" name="비고" dataDxfId="1"/>
    <tableColumn id="9" xr3:uid="{59DEE41C-379F-4F21-B51A-D8870F04A93B}" name="열1" dataDxfId="0">
      <calculatedColumnFormula>TEXT(표1[[#This Row],[거래일자]],"mm월dd일/")&amp;" "&amp;표1[[#This Row],[내용]]&amp;"/"&amp;표1[[#This Row],[거래처명]]&amp; CHAR(13) &amp;"안녕"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142A73-F387-40F6-9FE9-D38C7B97E0DA}" name="표2_4" displayName="표2_4" ref="B4:G18" totalsRowShown="0">
  <tableColumns count="6">
    <tableColumn id="1" xr3:uid="{8953CAED-D022-4B6C-924D-70173886CCAD}" name="관"/>
    <tableColumn id="2" xr3:uid="{37C48705-341F-483A-BCEC-ACEA612901B2}" name="세목"/>
    <tableColumn id="3" xr3:uid="{95D65594-EF54-4F4C-A43A-317156BE5659}" name="열1"/>
    <tableColumn id="4" xr3:uid="{280C3F09-F339-4700-86FF-06719A19258B}" name="열2"/>
    <tableColumn id="5" xr3:uid="{8CDD5903-A54D-4B57-966A-FF211634247C}" name="열3"/>
    <tableColumn id="6" xr3:uid="{ACDC093C-3615-48E1-AEB0-6F649899FE6B}" name="열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9F55B-08ED-423E-89BE-65C4BC0D1123}">
  <dimension ref="A1:M46"/>
  <sheetViews>
    <sheetView tabSelected="1" view="pageBreakPreview" zoomScale="60" zoomScaleNormal="70" workbookViewId="0">
      <selection sqref="A1:M3"/>
    </sheetView>
  </sheetViews>
  <sheetFormatPr defaultColWidth="8" defaultRowHeight="14.4"/>
  <cols>
    <col min="1" max="1" width="3.109375" style="8" customWidth="1"/>
    <col min="2" max="2" width="11.44140625" style="8" customWidth="1"/>
    <col min="3" max="3" width="9.44140625" style="8" customWidth="1"/>
    <col min="4" max="4" width="39.88671875" style="8" customWidth="1"/>
    <col min="5" max="5" width="13.5546875" style="8" bestFit="1" customWidth="1"/>
    <col min="6" max="6" width="13.44140625" style="8" customWidth="1"/>
    <col min="7" max="7" width="32.77734375" style="8" customWidth="1"/>
    <col min="8" max="8" width="14" style="8" customWidth="1"/>
    <col min="9" max="9" width="7.77734375" style="8" customWidth="1"/>
    <col min="10" max="10" width="8.88671875" style="8" customWidth="1"/>
    <col min="11" max="11" width="8" style="8"/>
    <col min="12" max="12" width="17.109375" style="8" bestFit="1" customWidth="1"/>
    <col min="13" max="13" width="14.109375" style="8" customWidth="1"/>
    <col min="14" max="16384" width="8" style="8"/>
  </cols>
  <sheetData>
    <row r="1" spans="1:13" ht="33.9" customHeight="1">
      <c r="A1" s="85" t="s">
        <v>275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3" ht="20.399999999999999" customHeight="1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3" ht="28.8" customHeight="1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</row>
    <row r="4" spans="1:13" ht="27.9" customHeight="1">
      <c r="A4" s="106" t="s">
        <v>218</v>
      </c>
      <c r="B4" s="106"/>
      <c r="C4" s="107"/>
      <c r="D4" s="108"/>
      <c r="E4" s="19" t="s">
        <v>102</v>
      </c>
      <c r="F4" s="20"/>
      <c r="G4" s="21" t="s">
        <v>192</v>
      </c>
      <c r="H4" s="109" t="s">
        <v>276</v>
      </c>
      <c r="I4" s="109"/>
      <c r="J4" s="109"/>
      <c r="K4" s="109"/>
      <c r="L4" s="109"/>
      <c r="M4" s="110"/>
    </row>
    <row r="5" spans="1:13" ht="27.9" customHeight="1" thickBot="1">
      <c r="A5" s="114" t="s">
        <v>190</v>
      </c>
      <c r="B5" s="115"/>
      <c r="C5" s="116"/>
      <c r="D5" s="117"/>
      <c r="E5" s="117"/>
      <c r="F5" s="117"/>
      <c r="G5" s="117"/>
      <c r="H5" s="117"/>
      <c r="I5" s="117"/>
      <c r="J5" s="117"/>
      <c r="K5" s="117"/>
      <c r="L5" s="117"/>
      <c r="M5" s="118"/>
    </row>
    <row r="6" spans="1:13" ht="45" customHeight="1" thickBot="1">
      <c r="A6" s="111" t="s">
        <v>219</v>
      </c>
      <c r="B6" s="112"/>
      <c r="C6" s="112"/>
      <c r="D6" s="112"/>
      <c r="E6" s="113"/>
      <c r="F6" s="112" t="s">
        <v>188</v>
      </c>
      <c r="G6" s="112"/>
      <c r="H6" s="112"/>
      <c r="I6" s="112"/>
      <c r="J6" s="112"/>
      <c r="K6" s="112"/>
      <c r="L6" s="112"/>
      <c r="M6" s="119"/>
    </row>
    <row r="7" spans="1:13" ht="15" customHeight="1">
      <c r="A7" s="90" t="s">
        <v>187</v>
      </c>
      <c r="B7" s="91"/>
      <c r="C7" s="92"/>
      <c r="D7" s="126" t="s">
        <v>195</v>
      </c>
      <c r="E7" s="88" t="s">
        <v>186</v>
      </c>
      <c r="F7" s="97" t="s">
        <v>184</v>
      </c>
      <c r="G7" s="98"/>
      <c r="H7" s="98"/>
      <c r="I7" s="98"/>
      <c r="J7" s="98"/>
      <c r="K7" s="99"/>
      <c r="L7" s="93" t="s">
        <v>178</v>
      </c>
      <c r="M7" s="95" t="s">
        <v>177</v>
      </c>
    </row>
    <row r="8" spans="1:13" ht="21" customHeight="1" thickBot="1">
      <c r="A8" s="56" t="s">
        <v>221</v>
      </c>
      <c r="B8" s="57" t="s">
        <v>109</v>
      </c>
      <c r="C8" s="57" t="s">
        <v>110</v>
      </c>
      <c r="D8" s="127"/>
      <c r="E8" s="89"/>
      <c r="F8" s="100"/>
      <c r="G8" s="101"/>
      <c r="H8" s="101"/>
      <c r="I8" s="101"/>
      <c r="J8" s="101"/>
      <c r="K8" s="102"/>
      <c r="L8" s="94"/>
      <c r="M8" s="96"/>
    </row>
    <row r="9" spans="1:13" ht="93" customHeight="1">
      <c r="A9" s="139" t="s">
        <v>105</v>
      </c>
      <c r="B9" s="62" t="s">
        <v>224</v>
      </c>
      <c r="C9" s="62" t="s">
        <v>228</v>
      </c>
      <c r="D9" s="63"/>
      <c r="E9" s="64">
        <v>50000</v>
      </c>
      <c r="F9" s="136" t="str" cm="1">
        <f t="array" ref="F9">_xlfn.TEXTJOIN(CHAR(10),TRUE,IF(활동비지출일별내역!C$7:C$168=결과정산보고서!C9,활동비지출일별내역!K$7:K$168,""))</f>
        <v>04월12일/ 팀 활동 홍보물 제작(포스터 1종)/풀씨디자인/50000</v>
      </c>
      <c r="G9" s="137"/>
      <c r="H9" s="137"/>
      <c r="I9" s="137"/>
      <c r="J9" s="137"/>
      <c r="K9" s="138"/>
      <c r="L9" s="65">
        <f>SUMIF(활동비지출일별내역!C$7:C$168,결과정산보고서!C9,활동비지출일별내역!G$7:G$168)</f>
        <v>50000</v>
      </c>
      <c r="M9" s="66">
        <f t="shared" ref="M9:M18" si="0">E9-L9</f>
        <v>0</v>
      </c>
    </row>
    <row r="10" spans="1:13" ht="108.6" customHeight="1">
      <c r="A10" s="140"/>
      <c r="B10" s="22" t="s">
        <v>225</v>
      </c>
      <c r="C10" s="22" t="s">
        <v>229</v>
      </c>
      <c r="D10" s="43"/>
      <c r="E10" s="23">
        <v>200000</v>
      </c>
      <c r="F10" s="128" t="str" cm="1">
        <f t="array" ref="F10">_xlfn.TEXTJOIN(CHAR(10),TRUE,IF(활동비지출일별내역!C$7:C$168=결과정산보고서!C10,활동비지출일별내역!K$7:K$168,""))</f>
        <v>04월13일/ 4/19 행사 다과비(과자 100인분,  음료 100인분)/쿠팡과자점/200000
04월17일/ 4/19 행사 홍보물  제작비/풀씨인쇄소/20000</v>
      </c>
      <c r="G10" s="129"/>
      <c r="H10" s="129"/>
      <c r="I10" s="129"/>
      <c r="J10" s="129"/>
      <c r="K10" s="130"/>
      <c r="L10" s="26">
        <f>SUMIF(활동비지출일별내역!C$7:C$168,결과정산보고서!C10,활동비지출일별내역!G$7:G$168)</f>
        <v>220000</v>
      </c>
      <c r="M10" s="44">
        <f t="shared" si="0"/>
        <v>-20000</v>
      </c>
    </row>
    <row r="11" spans="1:13" ht="152.4" customHeight="1">
      <c r="A11" s="140"/>
      <c r="B11" s="120" t="s">
        <v>226</v>
      </c>
      <c r="C11" s="22" t="s">
        <v>230</v>
      </c>
      <c r="D11" s="33"/>
      <c r="E11" s="34">
        <v>100000</v>
      </c>
      <c r="F11" s="128" t="str" cm="1">
        <f t="array" ref="F11">_xlfn.TEXTJOIN(CHAR(10),TRUE,IF(활동비지출일별내역!C$7:C$168=결과정산보고서!C11,활동비지출일별내역!K$7:K$168,""))</f>
        <v>05월04일/ 5/8일 행사 다과비(과자 50인분,  음료 50인분)/쿠팡과자점/100000</v>
      </c>
      <c r="G11" s="129"/>
      <c r="H11" s="129"/>
      <c r="I11" s="129"/>
      <c r="J11" s="129"/>
      <c r="K11" s="130"/>
      <c r="L11" s="26">
        <f>SUMIF(활동비지출일별내역!C$7:C$168,결과정산보고서!C11,활동비지출일별내역!G$7:G$168)</f>
        <v>100000</v>
      </c>
      <c r="M11" s="44">
        <f t="shared" si="0"/>
        <v>0</v>
      </c>
    </row>
    <row r="12" spans="1:13" ht="113.4" customHeight="1">
      <c r="A12" s="140"/>
      <c r="B12" s="120"/>
      <c r="C12" s="22" t="s">
        <v>231</v>
      </c>
      <c r="D12" s="35"/>
      <c r="E12" s="36">
        <v>150000</v>
      </c>
      <c r="F12" s="128" t="str" cm="1">
        <f t="array" ref="F12">_xlfn.TEXTJOIN(CHAR(10),TRUE,IF(활동비지출일별내역!C$7:C$168=결과정산보고서!C12,활동비지출일별내역!K$7:K$168,""))</f>
        <v>05월04일/ 5/15 교육프로그램 위한 가위, 풀 10인용 문구 구입 /풀씨문방구/160000</v>
      </c>
      <c r="G12" s="129"/>
      <c r="H12" s="129"/>
      <c r="I12" s="129"/>
      <c r="J12" s="129"/>
      <c r="K12" s="130"/>
      <c r="L12" s="26">
        <f>SUMIF(활동비지출일별내역!C$7:C$168,결과정산보고서!C12,활동비지출일별내역!G$7:G$168)</f>
        <v>160000</v>
      </c>
      <c r="M12" s="44">
        <f t="shared" ref="M12:M17" si="1">E12-L12</f>
        <v>-10000</v>
      </c>
    </row>
    <row r="13" spans="1:13" ht="113.4" customHeight="1">
      <c r="A13" s="140"/>
      <c r="B13" s="143" t="s">
        <v>227</v>
      </c>
      <c r="C13" s="69" t="s">
        <v>232</v>
      </c>
      <c r="D13" s="70"/>
      <c r="E13" s="68">
        <v>350000</v>
      </c>
      <c r="F13" s="128" t="str" cm="1">
        <f t="array" ref="F13">_xlfn.TEXTJOIN(CHAR(10),TRUE,IF(활동비지출일별내역!C$7:C$168=결과정산보고서!C13,활동비지출일별내역!K$7:K$168,""))</f>
        <v>05월12일/ 5/15 워크숍 숙박비 (8명*3방*1박)/풀씨호텔/400000</v>
      </c>
      <c r="G13" s="129"/>
      <c r="H13" s="129"/>
      <c r="I13" s="129"/>
      <c r="J13" s="129"/>
      <c r="K13" s="130"/>
      <c r="L13" s="26">
        <f>SUMIF(활동비지출일별내역!C$7:C$168,결과정산보고서!C13,활동비지출일별내역!G$7:G$168)</f>
        <v>400000</v>
      </c>
      <c r="M13" s="44">
        <f t="shared" si="1"/>
        <v>-50000</v>
      </c>
    </row>
    <row r="14" spans="1:13" ht="113.4" customHeight="1">
      <c r="A14" s="140"/>
      <c r="B14" s="144"/>
      <c r="C14" s="69" t="s">
        <v>233</v>
      </c>
      <c r="D14" s="70"/>
      <c r="E14" s="68">
        <v>200000</v>
      </c>
      <c r="F14" s="128" t="str" cm="1">
        <f t="array" ref="F14">_xlfn.TEXTJOIN(CHAR(10),TRUE,IF(활동비지출일별내역!C$7:C$168=결과정산보고서!C14,활동비지출일별내역!K$7:K$168,""))</f>
        <v>05월15일/ 5/15 워크숍 아침 (8명)/풀씨식당/80000
05월15일/ 5/15 워크숍 점심 (8명)/풀꽃식당/80000
05월15일/ 5/16 워크숍 아침 (8명 *4,000원)/풀씨김밥/50000</v>
      </c>
      <c r="G14" s="129"/>
      <c r="H14" s="129"/>
      <c r="I14" s="129"/>
      <c r="J14" s="129"/>
      <c r="K14" s="130"/>
      <c r="L14" s="26">
        <f>SUMIF(활동비지출일별내역!C$7:C$168,결과정산보고서!C14,활동비지출일별내역!G$7:G$168)</f>
        <v>210000</v>
      </c>
      <c r="M14" s="44">
        <f t="shared" si="1"/>
        <v>-10000</v>
      </c>
    </row>
    <row r="15" spans="1:13" ht="113.4" customHeight="1">
      <c r="A15" s="140"/>
      <c r="B15" s="145"/>
      <c r="C15" s="69" t="s">
        <v>234</v>
      </c>
      <c r="D15" s="70"/>
      <c r="E15" s="68">
        <v>450000</v>
      </c>
      <c r="F15" s="128" t="str" cm="1">
        <f t="array" ref="F15">_xlfn.TEXTJOIN(CHAR(10),TRUE,IF(활동비지출일별내역!C$7:C$168=결과정산보고서!C15,활동비지출일별내역!K$7:K$168,""))</f>
        <v>05월15일/ 5/15 워크숍 시외버스 (대구&lt;-&gt;서울) 왕복 8명/KOBUS/450000</v>
      </c>
      <c r="G15" s="129"/>
      <c r="H15" s="129"/>
      <c r="I15" s="129"/>
      <c r="J15" s="129"/>
      <c r="K15" s="130"/>
      <c r="L15" s="26">
        <f>SUMIF(활동비지출일별내역!C$7:C$168,결과정산보고서!C15,활동비지출일별내역!G$7:G$168)</f>
        <v>450000</v>
      </c>
      <c r="M15" s="44">
        <f t="shared" si="1"/>
        <v>0</v>
      </c>
    </row>
    <row r="16" spans="1:13" ht="113.4" customHeight="1">
      <c r="A16" s="140"/>
      <c r="B16" s="143" t="s">
        <v>238</v>
      </c>
      <c r="C16" s="69" t="s">
        <v>235</v>
      </c>
      <c r="D16" s="70"/>
      <c r="E16" s="68">
        <v>1150000</v>
      </c>
      <c r="F16" s="128" t="str" cm="1">
        <f t="array" ref="F16">_xlfn.TEXTJOIN(CHAR(10),TRUE,IF(활동비지출일별내역!C$7:C$168=결과정산보고서!C16,활동비지출일별내역!K$7:K$168,""))</f>
        <v>08월20일/ 9/30 행사 홍보물 제작 (포스터 및 쇼츠 영상 1종)/풀씨홍보/900000
08월25일/ 9/30 행사 인스타 홍보 (7일 * 30달러)/Instagram/210000</v>
      </c>
      <c r="G16" s="129"/>
      <c r="H16" s="129"/>
      <c r="I16" s="129"/>
      <c r="J16" s="129"/>
      <c r="K16" s="130"/>
      <c r="L16" s="26">
        <f>SUMIF(활동비지출일별내역!C$7:C$168,결과정산보고서!C16,활동비지출일별내역!G$7:G$168)</f>
        <v>1110000</v>
      </c>
      <c r="M16" s="44">
        <f t="shared" si="1"/>
        <v>40000</v>
      </c>
    </row>
    <row r="17" spans="1:13" ht="113.4" customHeight="1">
      <c r="A17" s="140"/>
      <c r="B17" s="145"/>
      <c r="C17" s="69" t="s">
        <v>236</v>
      </c>
      <c r="D17" s="70"/>
      <c r="E17" s="68">
        <v>250000</v>
      </c>
      <c r="F17" s="128" t="str" cm="1">
        <f t="array" ref="F17">_xlfn.TEXTJOIN(CHAR(10),TRUE,IF(활동비지출일별내역!C$7:C$168=결과정산보고서!C17,활동비지출일별내역!K$7:K$168,""))</f>
        <v>09월27일/ 9/30 행사 강사비(1명)/김풀꽃/228000
09월27일/ 9/30 행사 강사비 세금 신고건/재단법인 숲과나눔/22000</v>
      </c>
      <c r="G17" s="129"/>
      <c r="H17" s="129"/>
      <c r="I17" s="129"/>
      <c r="J17" s="129"/>
      <c r="K17" s="130"/>
      <c r="L17" s="26">
        <f>SUMIF(활동비지출일별내역!C$7:C$168,결과정산보고서!C17,활동비지출일별내역!G$7:G$168)</f>
        <v>250000</v>
      </c>
      <c r="M17" s="44">
        <f t="shared" si="1"/>
        <v>0</v>
      </c>
    </row>
    <row r="18" spans="1:13" ht="130.80000000000001" customHeight="1" thickBot="1">
      <c r="A18" s="141"/>
      <c r="B18" s="37" t="s">
        <v>239</v>
      </c>
      <c r="C18" s="37" t="s">
        <v>237</v>
      </c>
      <c r="D18" s="67"/>
      <c r="E18" s="68">
        <v>50000</v>
      </c>
      <c r="F18" s="103" t="str" cm="1">
        <f t="array" ref="F18">_xlfn.TEXTJOIN(CHAR(10),TRUE,IF(활동비지출일별내역!C$7:C$168=결과정산보고서!C18,활동비지출일별내역!K$7:K$168,""))</f>
        <v>05월10일/ 5/10인터뷰 면담 진행비 20,000*1인/김풀씨/20000</v>
      </c>
      <c r="G18" s="104"/>
      <c r="H18" s="104"/>
      <c r="I18" s="104"/>
      <c r="J18" s="104"/>
      <c r="K18" s="105"/>
      <c r="L18" s="26">
        <f>SUMIF(활동비지출일별내역!C$7:C$168,결과정산보고서!C18,활동비지출일별내역!G$7:G$168)</f>
        <v>20000</v>
      </c>
      <c r="M18" s="44">
        <f t="shared" si="0"/>
        <v>30000</v>
      </c>
    </row>
    <row r="19" spans="1:13" ht="20.399999999999999" customHeight="1" thickBot="1">
      <c r="A19" s="53"/>
      <c r="B19" s="54"/>
      <c r="C19" s="55" t="s">
        <v>104</v>
      </c>
      <c r="D19" s="50" t="s">
        <v>134</v>
      </c>
      <c r="E19" s="32">
        <f>SUM(E7:E18)</f>
        <v>2950000</v>
      </c>
      <c r="F19" s="87" t="s">
        <v>134</v>
      </c>
      <c r="G19" s="87"/>
      <c r="H19" s="87"/>
      <c r="I19" s="87"/>
      <c r="J19" s="87"/>
      <c r="K19" s="87"/>
      <c r="L19" s="27">
        <f>SUM(L9:L18)</f>
        <v>2970000</v>
      </c>
      <c r="M19" s="45">
        <f>E19-L19</f>
        <v>-20000</v>
      </c>
    </row>
    <row r="20" spans="1:13" ht="159" customHeight="1" thickBot="1">
      <c r="A20" s="124" t="s">
        <v>111</v>
      </c>
      <c r="B20" s="125"/>
      <c r="C20" s="24" t="s">
        <v>111</v>
      </c>
      <c r="D20" s="25"/>
      <c r="E20" s="23">
        <v>50000</v>
      </c>
      <c r="F20" s="136" t="str" cm="1">
        <f t="array" ref="F20">_xlfn.TEXTJOIN(CHAR(10),TRUE,IF(활동비지출일별내역!C$7:C$168=결과정산보고서!C20,활동비지출일별내역!K$7:K$168,""))</f>
        <v>05월12일/ 워크숍 전 회의 식비 15,000*2인/풀씨인쇄소/30000
09월27일/ 이체수수료/풀씨은행/500</v>
      </c>
      <c r="G20" s="137"/>
      <c r="H20" s="137"/>
      <c r="I20" s="137"/>
      <c r="J20" s="137"/>
      <c r="K20" s="138"/>
      <c r="L20" s="28">
        <f>SUMIF(활동비지출일별내역!C$7:C$168,결과정산보고서!C20,활동비지출일별내역!G$7:G$168)</f>
        <v>30500</v>
      </c>
      <c r="M20" s="46">
        <f>E20-L20</f>
        <v>19500</v>
      </c>
    </row>
    <row r="21" spans="1:13" ht="21" customHeight="1" thickBot="1">
      <c r="A21" s="48"/>
      <c r="B21" s="49" t="s">
        <v>104</v>
      </c>
      <c r="C21" s="87" t="s">
        <v>117</v>
      </c>
      <c r="D21" s="142"/>
      <c r="E21" s="31">
        <f>SUM(E9:E20)-E19</f>
        <v>3000000</v>
      </c>
      <c r="F21" s="131" t="s">
        <v>242</v>
      </c>
      <c r="G21" s="132"/>
      <c r="H21" s="132"/>
      <c r="I21" s="132"/>
      <c r="J21" s="132"/>
      <c r="K21" s="133"/>
      <c r="L21" s="29">
        <f>SUM(L20,L19)</f>
        <v>3000500</v>
      </c>
      <c r="M21" s="45">
        <f>E21-L21</f>
        <v>-500</v>
      </c>
    </row>
    <row r="22" spans="1:13" ht="33.6" customHeight="1" thickBot="1">
      <c r="A22" s="51"/>
      <c r="B22" s="87" t="s">
        <v>115</v>
      </c>
      <c r="C22" s="87"/>
      <c r="D22" s="123"/>
      <c r="E22" s="52">
        <f>SUMIF(활동비지출일별내역!C6:C168,"이자",활동비지출일별내역!G6:G168)+SUMIF(활동비지출일별내역!C6:C168,"캐시백",활동비지출일별내역!G6:G168)</f>
        <v>1340</v>
      </c>
      <c r="F22" s="74" t="s">
        <v>240</v>
      </c>
      <c r="G22" s="73">
        <f>IF(M22&lt;=10000,0,M22)</f>
        <v>0</v>
      </c>
      <c r="H22" s="71" t="str">
        <f>IF(G22&gt;0,"환급요망","환급불필요")</f>
        <v>환급불필요</v>
      </c>
      <c r="I22" s="72" t="s">
        <v>241</v>
      </c>
      <c r="J22" s="121"/>
      <c r="K22" s="122"/>
      <c r="L22" s="47" t="s">
        <v>114</v>
      </c>
      <c r="M22" s="30">
        <f>M21+E22</f>
        <v>840</v>
      </c>
    </row>
    <row r="23" spans="1:13" ht="233.4" customHeight="1">
      <c r="A23" s="134" t="s">
        <v>277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</row>
    <row r="44" spans="4:4">
      <c r="D44" s="8" t="s">
        <v>201</v>
      </c>
    </row>
    <row r="45" spans="4:4">
      <c r="D45" s="8" t="s">
        <v>214</v>
      </c>
    </row>
    <row r="46" spans="4:4">
      <c r="D46" s="8" t="s">
        <v>208</v>
      </c>
    </row>
  </sheetData>
  <sheetProtection formatCells="0" formatColumns="0" formatRows="0" insertColumns="0" insertRows="0" insertHyperlinks="0" deleteColumns="0" deleteRows="0" sort="0" autoFilter="0" pivotTables="0"/>
  <mergeCells count="36">
    <mergeCell ref="A23:M23"/>
    <mergeCell ref="F20:K20"/>
    <mergeCell ref="A9:A18"/>
    <mergeCell ref="C21:D21"/>
    <mergeCell ref="F9:K9"/>
    <mergeCell ref="F10:K10"/>
    <mergeCell ref="F11:K11"/>
    <mergeCell ref="F12:K12"/>
    <mergeCell ref="B13:B15"/>
    <mergeCell ref="B16:B17"/>
    <mergeCell ref="F13:K13"/>
    <mergeCell ref="F14:K14"/>
    <mergeCell ref="J22:K22"/>
    <mergeCell ref="B22:D22"/>
    <mergeCell ref="A20:B20"/>
    <mergeCell ref="D7:D8"/>
    <mergeCell ref="F15:K15"/>
    <mergeCell ref="F16:K16"/>
    <mergeCell ref="F17:K17"/>
    <mergeCell ref="F21:K21"/>
    <mergeCell ref="A1:M3"/>
    <mergeCell ref="F19:K19"/>
    <mergeCell ref="E7:E8"/>
    <mergeCell ref="A7:C7"/>
    <mergeCell ref="L7:L8"/>
    <mergeCell ref="M7:M8"/>
    <mergeCell ref="F7:K8"/>
    <mergeCell ref="F18:K18"/>
    <mergeCell ref="A4:B4"/>
    <mergeCell ref="C4:D4"/>
    <mergeCell ref="H4:M4"/>
    <mergeCell ref="A6:E6"/>
    <mergeCell ref="A5:B5"/>
    <mergeCell ref="C5:M5"/>
    <mergeCell ref="F6:M6"/>
    <mergeCell ref="B11:B12"/>
  </mergeCells>
  <pageMargins left="0.39370078740157483" right="0.39370078740157483" top="0.39370078740157483" bottom="0.39370078740157483" header="0.31496062992125984" footer="0.31496062992125984"/>
  <pageSetup paperSize="9" scale="48" orientation="portrait" r:id="rId1"/>
  <headerFooter>
    <oddFooter>&amp;N페이지 중 &amp;P페이지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D138-E54F-4C4B-A09C-C3089A8154C3}">
  <sheetPr>
    <tabColor rgb="FFFF0000"/>
  </sheetPr>
  <dimension ref="A1:K248"/>
  <sheetViews>
    <sheetView view="pageBreakPreview" zoomScale="90" zoomScaleNormal="90" zoomScaleSheetLayoutView="90" workbookViewId="0">
      <pane xSplit="4" ySplit="6" topLeftCell="E7" activePane="bottomRight" state="frozen"/>
      <selection pane="topRight" activeCell="G1" sqref="G1"/>
      <selection pane="bottomLeft" activeCell="A4" sqref="A4"/>
      <selection pane="bottomRight" activeCell="H7" sqref="H7"/>
    </sheetView>
  </sheetViews>
  <sheetFormatPr defaultColWidth="9.109375" defaultRowHeight="12" customHeight="1"/>
  <cols>
    <col min="1" max="1" width="9" style="1" customWidth="1"/>
    <col min="2" max="2" width="24.6640625" style="1" customWidth="1"/>
    <col min="3" max="3" width="22.44140625" style="1" customWidth="1"/>
    <col min="4" max="4" width="11" bestFit="1" customWidth="1"/>
    <col min="5" max="5" width="74.6640625" bestFit="1" customWidth="1"/>
    <col min="6" max="6" width="19" style="1" customWidth="1"/>
    <col min="7" max="7" width="17.88671875" customWidth="1"/>
    <col min="8" max="8" width="13.88671875" customWidth="1"/>
    <col min="9" max="9" width="12.5546875" style="1" customWidth="1"/>
    <col min="10" max="10" width="15.44140625" customWidth="1"/>
    <col min="11" max="11" width="56.44140625" style="13" bestFit="1" customWidth="1"/>
  </cols>
  <sheetData>
    <row r="1" spans="1:11" ht="22.2" customHeight="1">
      <c r="A1" s="75" t="s">
        <v>274</v>
      </c>
      <c r="B1" s="76"/>
      <c r="C1" s="76"/>
      <c r="D1" s="76"/>
      <c r="E1" s="76"/>
      <c r="F1" s="76"/>
      <c r="G1" s="76"/>
      <c r="H1" s="76"/>
      <c r="I1" s="76"/>
      <c r="J1" s="76"/>
    </row>
    <row r="2" spans="1:11" ht="15.6" customHeight="1">
      <c r="A2" s="76"/>
      <c r="B2" s="76"/>
      <c r="C2" s="76"/>
      <c r="D2" s="76"/>
      <c r="E2" s="76"/>
      <c r="F2" s="76"/>
      <c r="G2" s="76"/>
      <c r="H2" s="76"/>
      <c r="I2" s="76"/>
      <c r="J2" s="76"/>
    </row>
    <row r="3" spans="1:11" ht="84" customHeight="1">
      <c r="A3" s="77"/>
      <c r="B3" s="77"/>
      <c r="C3" s="77"/>
      <c r="D3" s="77"/>
      <c r="E3" s="77"/>
      <c r="F3" s="77"/>
      <c r="G3" s="77"/>
      <c r="H3" s="77"/>
      <c r="I3" s="77"/>
      <c r="J3" s="77"/>
    </row>
    <row r="4" spans="1:11" ht="14.4">
      <c r="A4" s="10" t="s">
        <v>107</v>
      </c>
      <c r="B4" s="11"/>
      <c r="C4" s="10" t="s">
        <v>108</v>
      </c>
      <c r="D4" s="38"/>
      <c r="E4" s="78" t="s">
        <v>200</v>
      </c>
      <c r="F4" s="58"/>
      <c r="G4" s="60" t="s">
        <v>203</v>
      </c>
      <c r="H4" s="61" t="s">
        <v>199</v>
      </c>
      <c r="I4" s="81" t="s">
        <v>223</v>
      </c>
      <c r="J4" s="82"/>
    </row>
    <row r="5" spans="1:11" ht="14.4">
      <c r="A5" s="12" t="s">
        <v>106</v>
      </c>
      <c r="B5" s="80"/>
      <c r="C5" s="80"/>
      <c r="D5" s="80"/>
      <c r="E5" s="79"/>
      <c r="F5" s="59">
        <v>0</v>
      </c>
      <c r="G5" s="15">
        <f>SUMIF(B7:B169,"&lt;&gt;"&amp;"수입",G7:G222)</f>
        <v>3000500</v>
      </c>
      <c r="H5" s="16">
        <f>H169</f>
        <v>840</v>
      </c>
      <c r="I5" s="83"/>
      <c r="J5" s="84"/>
    </row>
    <row r="6" spans="1:11" ht="16.2" customHeight="1">
      <c r="A6" s="2" t="s">
        <v>112</v>
      </c>
      <c r="B6" s="2" t="s">
        <v>221</v>
      </c>
      <c r="C6" s="2" t="s">
        <v>110</v>
      </c>
      <c r="D6" s="2" t="s">
        <v>206</v>
      </c>
      <c r="E6" s="2" t="s">
        <v>195</v>
      </c>
      <c r="F6" s="17" t="s">
        <v>196</v>
      </c>
      <c r="G6" s="2" t="s">
        <v>197</v>
      </c>
      <c r="H6" s="2" t="s">
        <v>19</v>
      </c>
      <c r="I6" s="2" t="s">
        <v>24</v>
      </c>
      <c r="J6" s="2" t="s">
        <v>20</v>
      </c>
      <c r="K6" s="13" t="s">
        <v>198</v>
      </c>
    </row>
    <row r="7" spans="1:11" ht="19.95" customHeight="1">
      <c r="A7" s="3">
        <v>1</v>
      </c>
      <c r="B7" s="3" t="s">
        <v>104</v>
      </c>
      <c r="C7" s="3" t="s">
        <v>208</v>
      </c>
      <c r="D7" s="4">
        <v>45381</v>
      </c>
      <c r="E7" s="14" t="s">
        <v>205</v>
      </c>
      <c r="F7" s="3" t="s">
        <v>29</v>
      </c>
      <c r="G7" s="6">
        <v>3000000</v>
      </c>
      <c r="H7" s="18">
        <f>F5+IF(표1[[#This Row],[항]]="수입",표1[[#This Row],[수입/지출금액]],(-1*표1[[#This Row],[수입/지출금액]]))</f>
        <v>3000000</v>
      </c>
      <c r="I7" s="3"/>
      <c r="J7" s="5"/>
      <c r="K7" s="13" t="str">
        <f>TEXT(표1[[#This Row],[거래일자]],"mm월dd일/")&amp;" "&amp;표1[[#This Row],[내용]]&amp;"/"&amp;표1[[#This Row],[거래처명]]&amp;"/"&amp;표1[[#This Row],[수입/지출금액]]</f>
        <v>03월30일/ 활동비입금/재단법인 숲과나눔/3000000</v>
      </c>
    </row>
    <row r="8" spans="1:11" ht="19.95" customHeight="1">
      <c r="A8" s="3">
        <v>2</v>
      </c>
      <c r="B8" s="3" t="s">
        <v>105</v>
      </c>
      <c r="C8" s="3" t="s">
        <v>228</v>
      </c>
      <c r="D8" s="4">
        <v>45394</v>
      </c>
      <c r="E8" s="14" t="s">
        <v>272</v>
      </c>
      <c r="F8" s="3" t="s">
        <v>151</v>
      </c>
      <c r="G8" s="6">
        <v>50000</v>
      </c>
      <c r="H8" s="18">
        <f>H7+IF(표1[[#This Row],[항]]="수입",표1[[#This Row],[수입/지출금액]],(-1*표1[[#This Row],[수입/지출금액]]))</f>
        <v>2950000</v>
      </c>
      <c r="I8" s="3" t="s">
        <v>212</v>
      </c>
      <c r="J8" s="5"/>
      <c r="K8" s="13" t="str">
        <f>TEXT(표1[[#This Row],[거래일자]],"mm월dd일/")&amp;" "&amp;표1[[#This Row],[내용]]&amp;"/"&amp;표1[[#This Row],[거래처명]]&amp;"/"&amp;표1[[#This Row],[수입/지출금액]]</f>
        <v>04월12일/ 팀 활동 홍보물 제작(포스터 1종)/풀씨디자인/50000</v>
      </c>
    </row>
    <row r="9" spans="1:11" ht="19.95" customHeight="1">
      <c r="A9" s="3">
        <v>3</v>
      </c>
      <c r="B9" s="3" t="s">
        <v>105</v>
      </c>
      <c r="C9" s="3" t="s">
        <v>229</v>
      </c>
      <c r="D9" s="4">
        <v>45395</v>
      </c>
      <c r="E9" s="40" t="s">
        <v>271</v>
      </c>
      <c r="F9" s="3" t="s">
        <v>220</v>
      </c>
      <c r="G9" s="6">
        <v>200000</v>
      </c>
      <c r="H9" s="18">
        <f>H8+IF(표1[[#This Row],[항]]="수입",표1[[#This Row],[수입/지출금액]],(-1*표1[[#This Row],[수입/지출금액]]))</f>
        <v>2750000</v>
      </c>
      <c r="I9" s="3" t="s">
        <v>212</v>
      </c>
      <c r="J9" s="3" t="s">
        <v>204</v>
      </c>
      <c r="K9" s="13" t="str">
        <f>TEXT(표1[[#This Row],[거래일자]],"mm월dd일/")&amp;" "&amp;표1[[#This Row],[내용]]&amp;"/"&amp;표1[[#This Row],[거래처명]]&amp;"/"&amp;표1[[#This Row],[수입/지출금액]]</f>
        <v>04월13일/ 4/19 행사 다과비(과자 100인분,  음료 100인분)/쿠팡과자점/200000</v>
      </c>
    </row>
    <row r="10" spans="1:11" ht="19.95" customHeight="1">
      <c r="A10" s="3">
        <v>4</v>
      </c>
      <c r="B10" s="3" t="s">
        <v>105</v>
      </c>
      <c r="C10" s="3" t="s">
        <v>229</v>
      </c>
      <c r="D10" s="4">
        <v>45399</v>
      </c>
      <c r="E10" s="14" t="s">
        <v>243</v>
      </c>
      <c r="F10" s="3" t="s">
        <v>213</v>
      </c>
      <c r="G10" s="6">
        <v>20000</v>
      </c>
      <c r="H10" s="18">
        <f>H9+IF(표1[[#This Row],[항]]="수입",표1[[#This Row],[수입/지출금액]],(-1*표1[[#This Row],[수입/지출금액]]))</f>
        <v>2730000</v>
      </c>
      <c r="I10" s="3" t="s">
        <v>212</v>
      </c>
      <c r="J10" s="3"/>
      <c r="K10" s="13" t="str">
        <f>TEXT(표1[[#This Row],[거래일자]],"mm월dd일/")&amp;" "&amp;표1[[#This Row],[내용]]&amp;"/"&amp;표1[[#This Row],[거래처명]]&amp;"/"&amp;표1[[#This Row],[수입/지출금액]]</f>
        <v>04월17일/ 4/19 행사 홍보물  제작비/풀씨인쇄소/20000</v>
      </c>
    </row>
    <row r="11" spans="1:11" ht="19.95" customHeight="1">
      <c r="A11" s="3">
        <v>5</v>
      </c>
      <c r="B11" s="3" t="s">
        <v>105</v>
      </c>
      <c r="C11" s="3" t="s">
        <v>230</v>
      </c>
      <c r="D11" s="4">
        <v>45416</v>
      </c>
      <c r="E11" s="40" t="s">
        <v>270</v>
      </c>
      <c r="F11" s="3" t="s">
        <v>220</v>
      </c>
      <c r="G11" s="6">
        <v>100000</v>
      </c>
      <c r="H11" s="18">
        <f>H10+IF(표1[[#This Row],[항]]="수입",표1[[#This Row],[수입/지출금액]],(-1*표1[[#This Row],[수입/지출금액]]))</f>
        <v>2630000</v>
      </c>
      <c r="I11" s="3" t="s">
        <v>212</v>
      </c>
      <c r="J11" s="3"/>
      <c r="K11" s="13" t="str">
        <f>TEXT(표1[[#This Row],[거래일자]],"mm월dd일/")&amp;" "&amp;표1[[#This Row],[내용]]&amp;"/"&amp;표1[[#This Row],[거래처명]]&amp;"/"&amp;표1[[#This Row],[수입/지출금액]]</f>
        <v>05월04일/ 5/8일 행사 다과비(과자 50인분,  음료 50인분)/쿠팡과자점/100000</v>
      </c>
    </row>
    <row r="12" spans="1:11" ht="19.95" customHeight="1">
      <c r="A12" s="3">
        <v>6</v>
      </c>
      <c r="B12" s="3" t="s">
        <v>105</v>
      </c>
      <c r="C12" s="3" t="s">
        <v>231</v>
      </c>
      <c r="D12" s="4">
        <v>45416</v>
      </c>
      <c r="E12" s="14" t="s">
        <v>244</v>
      </c>
      <c r="F12" s="3" t="s">
        <v>245</v>
      </c>
      <c r="G12" s="6">
        <v>160000</v>
      </c>
      <c r="H12" s="18">
        <f>H11+IF(표1[[#This Row],[항]]="수입",표1[[#This Row],[수입/지출금액]],(-1*표1[[#This Row],[수입/지출금액]]))</f>
        <v>2470000</v>
      </c>
      <c r="I12" s="3" t="s">
        <v>212</v>
      </c>
      <c r="J12" s="3" t="s">
        <v>246</v>
      </c>
      <c r="K12" s="13" t="str">
        <f>TEXT(표1[[#This Row],[거래일자]],"mm월dd일/")&amp;" "&amp;표1[[#This Row],[내용]]&amp;"/"&amp;표1[[#This Row],[거래처명]]&amp;"/"&amp;표1[[#This Row],[수입/지출금액]]</f>
        <v>05월04일/ 5/15 교육프로그램 위한 가위, 풀 10인용 문구 구입 /풀씨문방구/160000</v>
      </c>
    </row>
    <row r="13" spans="1:11" ht="19.95" customHeight="1">
      <c r="A13" s="3">
        <v>7</v>
      </c>
      <c r="B13" s="3" t="s">
        <v>104</v>
      </c>
      <c r="C13" s="3" t="s">
        <v>201</v>
      </c>
      <c r="D13" s="4">
        <v>45422</v>
      </c>
      <c r="E13" s="14" t="s">
        <v>201</v>
      </c>
      <c r="F13" s="3" t="s">
        <v>211</v>
      </c>
      <c r="G13" s="6">
        <v>670</v>
      </c>
      <c r="H13" s="18">
        <f>H12+IF(표1[[#This Row],[항]]="수입",표1[[#This Row],[수입/지출금액]],(-1*표1[[#This Row],[수입/지출금액]]))</f>
        <v>2470670</v>
      </c>
      <c r="I13" s="3"/>
      <c r="J13" s="3"/>
      <c r="K13" s="13" t="str">
        <f>TEXT(표1[[#This Row],[거래일자]],"mm월dd일/")&amp;" "&amp;표1[[#This Row],[내용]]&amp;"/"&amp;표1[[#This Row],[거래처명]]&amp;"/"&amp;표1[[#This Row],[수입/지출금액]]</f>
        <v>05월10일/ 이자/풀씨은행/670</v>
      </c>
    </row>
    <row r="14" spans="1:11" ht="19.95" customHeight="1">
      <c r="A14" s="3">
        <v>8</v>
      </c>
      <c r="B14" s="3" t="s">
        <v>105</v>
      </c>
      <c r="C14" s="3" t="s">
        <v>237</v>
      </c>
      <c r="D14" s="4">
        <v>45422</v>
      </c>
      <c r="E14" s="40" t="s">
        <v>264</v>
      </c>
      <c r="F14" s="3" t="s">
        <v>210</v>
      </c>
      <c r="G14" s="6">
        <v>20000</v>
      </c>
      <c r="H14" s="18">
        <f>H13+IF(표1[[#This Row],[항]]="수입",표1[[#This Row],[수입/지출금액]],(-1*표1[[#This Row],[수입/지출금액]]))</f>
        <v>2450670</v>
      </c>
      <c r="I14" s="3" t="s">
        <v>209</v>
      </c>
      <c r="J14" s="5"/>
      <c r="K14" s="13" t="str">
        <f>TEXT(표1[[#This Row],[거래일자]],"mm월dd일/")&amp;" "&amp;표1[[#This Row],[내용]]&amp;"/"&amp;표1[[#This Row],[거래처명]]&amp;"/"&amp;표1[[#This Row],[수입/지출금액]]</f>
        <v>05월10일/ 5/10인터뷰 면담 진행비 20,000*1인/김풀씨/20000</v>
      </c>
    </row>
    <row r="15" spans="1:11" ht="19.95" customHeight="1">
      <c r="A15" s="3">
        <v>9</v>
      </c>
      <c r="B15" s="3" t="s">
        <v>111</v>
      </c>
      <c r="C15" s="3" t="s">
        <v>111</v>
      </c>
      <c r="D15" s="4">
        <v>45424</v>
      </c>
      <c r="E15" s="14" t="s">
        <v>265</v>
      </c>
      <c r="F15" s="3" t="s">
        <v>213</v>
      </c>
      <c r="G15" s="6">
        <v>30000</v>
      </c>
      <c r="H15" s="18">
        <f>H14+IF(표1[[#This Row],[항]]="수입",표1[[#This Row],[수입/지출금액]],(-1*표1[[#This Row],[수입/지출금액]]))</f>
        <v>2420670</v>
      </c>
      <c r="I15" s="3" t="s">
        <v>212</v>
      </c>
      <c r="J15" s="5"/>
      <c r="K15" s="13" t="str">
        <f>TEXT(표1[[#This Row],[거래일자]],"mm월dd일/")&amp;" "&amp;표1[[#This Row],[내용]]&amp;"/"&amp;표1[[#This Row],[거래처명]]&amp;"/"&amp;표1[[#This Row],[수입/지출금액]]</f>
        <v>05월12일/ 워크숍 전 회의 식비 15,000*2인/풀씨인쇄소/30000</v>
      </c>
    </row>
    <row r="16" spans="1:11" ht="19.95" customHeight="1">
      <c r="A16" s="3">
        <v>10</v>
      </c>
      <c r="B16" s="3" t="s">
        <v>105</v>
      </c>
      <c r="C16" s="3" t="s">
        <v>232</v>
      </c>
      <c r="D16" s="4">
        <v>45424</v>
      </c>
      <c r="E16" s="14" t="s">
        <v>273</v>
      </c>
      <c r="F16" s="3" t="s">
        <v>254</v>
      </c>
      <c r="G16" s="6">
        <v>400000</v>
      </c>
      <c r="H16" s="18">
        <f>H15+IF(표1[[#This Row],[항]]="수입",표1[[#This Row],[수입/지출금액]],(-1*표1[[#This Row],[수입/지출금액]]))</f>
        <v>2020670</v>
      </c>
      <c r="I16" s="3" t="s">
        <v>212</v>
      </c>
      <c r="J16" s="5"/>
      <c r="K16" s="13" t="str">
        <f>TEXT(표1[[#This Row],[거래일자]],"mm월dd일/")&amp;" "&amp;표1[[#This Row],[내용]]&amp;"/"&amp;표1[[#This Row],[거래처명]]&amp;"/"&amp;표1[[#This Row],[수입/지출금액]]</f>
        <v>05월12일/ 5/15 워크숍 숙박비 (8명*3방*1박)/풀씨호텔/400000</v>
      </c>
    </row>
    <row r="17" spans="1:11" ht="19.95" customHeight="1">
      <c r="A17" s="3">
        <v>11</v>
      </c>
      <c r="B17" s="3" t="s">
        <v>105</v>
      </c>
      <c r="C17" s="3" t="s">
        <v>233</v>
      </c>
      <c r="D17" s="4">
        <v>45427</v>
      </c>
      <c r="E17" s="14" t="s">
        <v>258</v>
      </c>
      <c r="F17" s="3" t="s">
        <v>252</v>
      </c>
      <c r="G17" s="6">
        <v>80000</v>
      </c>
      <c r="H17" s="18">
        <f>H16+IF(표1[[#This Row],[항]]="수입",표1[[#This Row],[수입/지출금액]],(-1*표1[[#This Row],[수입/지출금액]]))</f>
        <v>1940670</v>
      </c>
      <c r="I17" s="3" t="s">
        <v>212</v>
      </c>
      <c r="J17" s="5"/>
      <c r="K17" s="13" t="str">
        <f>TEXT(표1[[#This Row],[거래일자]],"mm월dd일/")&amp;" "&amp;표1[[#This Row],[내용]]&amp;"/"&amp;표1[[#This Row],[거래처명]]&amp;"/"&amp;표1[[#This Row],[수입/지출금액]]</f>
        <v>05월15일/ 5/15 워크숍 아침 (8명)/풀씨식당/80000</v>
      </c>
    </row>
    <row r="18" spans="1:11" ht="19.95" customHeight="1">
      <c r="A18" s="3">
        <v>12</v>
      </c>
      <c r="B18" s="3" t="s">
        <v>105</v>
      </c>
      <c r="C18" s="3" t="s">
        <v>234</v>
      </c>
      <c r="D18" s="4">
        <v>45427</v>
      </c>
      <c r="E18" s="14" t="s">
        <v>259</v>
      </c>
      <c r="F18" s="3" t="s">
        <v>255</v>
      </c>
      <c r="G18" s="6">
        <v>450000</v>
      </c>
      <c r="H18" s="18">
        <f>H17+IF(표1[[#This Row],[항]]="수입",표1[[#This Row],[수입/지출금액]],(-1*표1[[#This Row],[수입/지출금액]]))</f>
        <v>1490670</v>
      </c>
      <c r="I18" s="3" t="s">
        <v>212</v>
      </c>
      <c r="J18" s="5"/>
      <c r="K18" s="13" t="str">
        <f>TEXT(표1[[#This Row],[거래일자]],"mm월dd일/")&amp;" "&amp;표1[[#This Row],[내용]]&amp;"/"&amp;표1[[#This Row],[거래처명]]&amp;"/"&amp;표1[[#This Row],[수입/지출금액]]</f>
        <v>05월15일/ 5/15 워크숍 시외버스 (대구&lt;-&gt;서울) 왕복 8명/KOBUS/450000</v>
      </c>
    </row>
    <row r="19" spans="1:11" ht="19.95" customHeight="1">
      <c r="A19" s="3">
        <v>13</v>
      </c>
      <c r="B19" s="3" t="s">
        <v>105</v>
      </c>
      <c r="C19" s="3" t="s">
        <v>233</v>
      </c>
      <c r="D19" s="4">
        <v>45427</v>
      </c>
      <c r="E19" s="40" t="s">
        <v>260</v>
      </c>
      <c r="F19" s="3" t="s">
        <v>256</v>
      </c>
      <c r="G19" s="6">
        <v>80000</v>
      </c>
      <c r="H19" s="18">
        <f>H18+IF(표1[[#This Row],[항]]="수입",표1[[#This Row],[수입/지출금액]],(-1*표1[[#This Row],[수입/지출금액]]))</f>
        <v>1410670</v>
      </c>
      <c r="I19" s="3" t="s">
        <v>212</v>
      </c>
      <c r="J19" s="5"/>
      <c r="K19" s="13" t="str">
        <f>TEXT(표1[[#This Row],[거래일자]],"mm월dd일/")&amp;" "&amp;표1[[#This Row],[내용]]&amp;"/"&amp;표1[[#This Row],[거래처명]]&amp;"/"&amp;표1[[#This Row],[수입/지출금액]]</f>
        <v>05월15일/ 5/15 워크숍 점심 (8명)/풀꽃식당/80000</v>
      </c>
    </row>
    <row r="20" spans="1:11" ht="19.95" customHeight="1">
      <c r="A20" s="3">
        <v>14</v>
      </c>
      <c r="B20" s="3" t="s">
        <v>105</v>
      </c>
      <c r="C20" s="3" t="s">
        <v>233</v>
      </c>
      <c r="D20" s="4">
        <v>45427</v>
      </c>
      <c r="E20" s="14" t="s">
        <v>261</v>
      </c>
      <c r="F20" s="3" t="s">
        <v>257</v>
      </c>
      <c r="G20" s="6">
        <v>50000</v>
      </c>
      <c r="H20" s="18">
        <f>H19+IF(표1[[#This Row],[항]]="수입",표1[[#This Row],[수입/지출금액]],(-1*표1[[#This Row],[수입/지출금액]]))</f>
        <v>1360670</v>
      </c>
      <c r="I20" s="3" t="s">
        <v>212</v>
      </c>
      <c r="J20" s="5"/>
      <c r="K20" s="13" t="str">
        <f>TEXT(표1[[#This Row],[거래일자]],"mm월dd일/")&amp;" "&amp;표1[[#This Row],[내용]]&amp;"/"&amp;표1[[#This Row],[거래처명]]&amp;"/"&amp;표1[[#This Row],[수입/지출금액]]</f>
        <v>05월15일/ 5/16 워크숍 아침 (8명 *4,000원)/풀씨김밥/50000</v>
      </c>
    </row>
    <row r="21" spans="1:11" ht="19.95" customHeight="1">
      <c r="A21" s="3">
        <v>15</v>
      </c>
      <c r="B21" s="3" t="s">
        <v>105</v>
      </c>
      <c r="C21" s="3" t="s">
        <v>235</v>
      </c>
      <c r="D21" s="4">
        <v>45524</v>
      </c>
      <c r="E21" s="40" t="s">
        <v>266</v>
      </c>
      <c r="F21" s="3" t="s">
        <v>267</v>
      </c>
      <c r="G21" s="6">
        <v>900000</v>
      </c>
      <c r="H21" s="18">
        <f>H20+IF(표1[[#This Row],[항]]="수입",표1[[#This Row],[수입/지출금액]],(-1*표1[[#This Row],[수입/지출금액]]))</f>
        <v>460670</v>
      </c>
      <c r="I21" s="42" t="s">
        <v>212</v>
      </c>
      <c r="J21" s="3" t="s">
        <v>268</v>
      </c>
      <c r="K21" s="13" t="str">
        <f>TEXT(표1[[#This Row],[거래일자]],"mm월dd일/")&amp;" "&amp;표1[[#This Row],[내용]]&amp;"/"&amp;표1[[#This Row],[거래처명]]&amp;"/"&amp;표1[[#This Row],[수입/지출금액]]</f>
        <v>08월20일/ 9/30 행사 홍보물 제작 (포스터 및 쇼츠 영상 1종)/풀씨홍보/900000</v>
      </c>
    </row>
    <row r="22" spans="1:11" ht="19.95" customHeight="1">
      <c r="A22" s="3">
        <v>16</v>
      </c>
      <c r="B22" s="3" t="s">
        <v>105</v>
      </c>
      <c r="C22" s="3" t="s">
        <v>235</v>
      </c>
      <c r="D22" s="4">
        <v>45529</v>
      </c>
      <c r="E22" s="8" t="s">
        <v>269</v>
      </c>
      <c r="F22" s="3" t="s">
        <v>222</v>
      </c>
      <c r="G22" s="6">
        <v>210000</v>
      </c>
      <c r="H22" s="18">
        <f>H21+IF(표1[[#This Row],[항]]="수입",표1[[#This Row],[수입/지출금액]],(-1*표1[[#This Row],[수입/지출금액]]))</f>
        <v>250670</v>
      </c>
      <c r="I22" s="3" t="s">
        <v>212</v>
      </c>
      <c r="J22" s="3"/>
      <c r="K22" s="13" t="str">
        <f>TEXT(표1[[#This Row],[거래일자]],"mm월dd일/")&amp;" "&amp;표1[[#This Row],[내용]]&amp;"/"&amp;표1[[#This Row],[거래처명]]&amp;"/"&amp;표1[[#This Row],[수입/지출금액]]</f>
        <v>08월25일/ 9/30 행사 인스타 홍보 (7일 * 30달러)/Instagram/210000</v>
      </c>
    </row>
    <row r="23" spans="1:11" ht="19.95" customHeight="1">
      <c r="A23" s="3">
        <v>17</v>
      </c>
      <c r="B23" s="3" t="s">
        <v>105</v>
      </c>
      <c r="C23" s="3" t="s">
        <v>236</v>
      </c>
      <c r="D23" s="4">
        <v>45562</v>
      </c>
      <c r="E23" s="14" t="s">
        <v>247</v>
      </c>
      <c r="F23" s="3" t="s">
        <v>248</v>
      </c>
      <c r="G23" s="6">
        <f>250000-22000</f>
        <v>228000</v>
      </c>
      <c r="H23" s="18">
        <f>H22+IF(표1[[#This Row],[항]]="수입",표1[[#This Row],[수입/지출금액]],(-1*표1[[#This Row],[수입/지출금액]]))</f>
        <v>22670</v>
      </c>
      <c r="I23" s="3" t="s">
        <v>209</v>
      </c>
      <c r="J23" s="3" t="s">
        <v>262</v>
      </c>
      <c r="K23" s="13" t="str">
        <f>TEXT(표1[[#This Row],[거래일자]],"mm월dd일/")&amp;" "&amp;표1[[#This Row],[내용]]&amp;"/"&amp;표1[[#This Row],[거래처명]]&amp;"/"&amp;표1[[#This Row],[수입/지출금액]]</f>
        <v>09월27일/ 9/30 행사 강사비(1명)/김풀꽃/228000</v>
      </c>
    </row>
    <row r="24" spans="1:11" ht="19.95" customHeight="1">
      <c r="A24" s="3">
        <v>18</v>
      </c>
      <c r="B24" s="3" t="s">
        <v>105</v>
      </c>
      <c r="C24" s="3" t="s">
        <v>236</v>
      </c>
      <c r="D24" s="4">
        <v>45562</v>
      </c>
      <c r="E24" s="14" t="s">
        <v>249</v>
      </c>
      <c r="F24" s="3" t="s">
        <v>250</v>
      </c>
      <c r="G24" s="6">
        <v>22000</v>
      </c>
      <c r="H24" s="18">
        <f>H23+IF(표1[[#This Row],[항]]="수입",표1[[#This Row],[수입/지출금액]],(-1*표1[[#This Row],[수입/지출금액]]))</f>
        <v>670</v>
      </c>
      <c r="I24" s="3" t="s">
        <v>209</v>
      </c>
      <c r="J24" s="3" t="s">
        <v>263</v>
      </c>
      <c r="K24" s="13" t="str">
        <f>TEXT(표1[[#This Row],[거래일자]],"mm월dd일/")&amp;" "&amp;표1[[#This Row],[내용]]&amp;"/"&amp;표1[[#This Row],[거래처명]]&amp;"/"&amp;표1[[#This Row],[수입/지출금액]]</f>
        <v>09월27일/ 9/30 행사 강사비 세금 신고건/재단법인 숲과나눔/22000</v>
      </c>
    </row>
    <row r="25" spans="1:11" ht="19.95" customHeight="1">
      <c r="A25" s="3">
        <v>19</v>
      </c>
      <c r="B25" s="3" t="s">
        <v>111</v>
      </c>
      <c r="C25" s="3" t="s">
        <v>111</v>
      </c>
      <c r="D25" s="4">
        <v>45562</v>
      </c>
      <c r="E25" s="14" t="s">
        <v>251</v>
      </c>
      <c r="F25" s="3" t="s">
        <v>211</v>
      </c>
      <c r="G25" s="6">
        <v>500</v>
      </c>
      <c r="H25" s="18">
        <f>H24+IF(표1[[#This Row],[항]]="수입",표1[[#This Row],[수입/지출금액]],(-1*표1[[#This Row],[수입/지출금액]]))</f>
        <v>170</v>
      </c>
      <c r="I25" s="42"/>
      <c r="J25" s="5"/>
      <c r="K25" s="13" t="str">
        <f>TEXT(표1[[#This Row],[거래일자]],"mm월dd일/")&amp;" "&amp;표1[[#This Row],[내용]]&amp;"/"&amp;표1[[#This Row],[거래처명]]&amp;"/"&amp;표1[[#This Row],[수입/지출금액]]</f>
        <v>09월27일/ 이체수수료/풀씨은행/500</v>
      </c>
    </row>
    <row r="26" spans="1:11" ht="19.95" customHeight="1">
      <c r="A26" s="3">
        <v>20</v>
      </c>
      <c r="B26" s="3" t="s">
        <v>104</v>
      </c>
      <c r="C26" s="3" t="s">
        <v>214</v>
      </c>
      <c r="D26" s="4">
        <v>45564</v>
      </c>
      <c r="E26" s="14" t="s">
        <v>253</v>
      </c>
      <c r="F26" s="3" t="s">
        <v>211</v>
      </c>
      <c r="G26" s="6">
        <v>670</v>
      </c>
      <c r="H26" s="18">
        <f>H25+IF(표1[[#This Row],[항]]="수입",표1[[#This Row],[수입/지출금액]],(-1*표1[[#This Row],[수입/지출금액]]))</f>
        <v>840</v>
      </c>
      <c r="I26" s="3"/>
      <c r="J26" s="5"/>
      <c r="K26" s="13" t="str">
        <f>TEXT(표1[[#This Row],[거래일자]],"mm월dd일/")&amp;" "&amp;표1[[#This Row],[내용]]&amp;"/"&amp;표1[[#This Row],[거래처명]]&amp;"/"&amp;표1[[#This Row],[수입/지출금액]]</f>
        <v>09월29일/ 카드 캐시백/풀씨은행/670</v>
      </c>
    </row>
    <row r="27" spans="1:11" ht="19.95" customHeight="1">
      <c r="A27" s="3">
        <v>21</v>
      </c>
      <c r="B27" s="3"/>
      <c r="C27" s="3"/>
      <c r="D27" s="4"/>
      <c r="E27" s="14"/>
      <c r="F27" s="3"/>
      <c r="G27" s="6"/>
      <c r="H27" s="18">
        <f>H26+IF(표1[[#This Row],[항]]="수입",표1[[#This Row],[수입/지출금액]],(-1*표1[[#This Row],[수입/지출금액]]))</f>
        <v>840</v>
      </c>
      <c r="I27" s="3"/>
      <c r="J27" s="8"/>
      <c r="K27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8" spans="1:11" ht="19.95" customHeight="1">
      <c r="A28" s="3">
        <v>22</v>
      </c>
      <c r="B28" s="3"/>
      <c r="C28" s="3"/>
      <c r="D28" s="4"/>
      <c r="E28" s="14"/>
      <c r="F28" s="3"/>
      <c r="G28" s="6"/>
      <c r="H28" s="18">
        <f>H27+IF(표1[[#This Row],[항]]="수입",표1[[#This Row],[수입/지출금액]],(-1*표1[[#This Row],[수입/지출금액]]))</f>
        <v>840</v>
      </c>
      <c r="I28" s="3"/>
      <c r="J28" s="5"/>
      <c r="K28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9" spans="1:11" ht="19.95" customHeight="1">
      <c r="A29" s="3">
        <v>23</v>
      </c>
      <c r="B29" s="3"/>
      <c r="C29" s="3"/>
      <c r="D29" s="4"/>
      <c r="E29" s="41"/>
      <c r="F29" s="3"/>
      <c r="G29" s="6"/>
      <c r="H29" s="18">
        <f>H28+IF(표1[[#This Row],[항]]="수입",표1[[#This Row],[수입/지출금액]],(-1*표1[[#This Row],[수입/지출금액]]))</f>
        <v>840</v>
      </c>
      <c r="I29" s="3"/>
      <c r="J29" s="5"/>
      <c r="K29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30" spans="1:11" ht="19.95" customHeight="1">
      <c r="A30" s="3">
        <v>24</v>
      </c>
      <c r="B30" s="3"/>
      <c r="C30" s="3"/>
      <c r="D30" s="4"/>
      <c r="E30" s="41"/>
      <c r="F30" s="3"/>
      <c r="G30" s="6"/>
      <c r="H30" s="18">
        <f>H29+IF(표1[[#This Row],[항]]="수입",표1[[#This Row],[수입/지출금액]],(-1*표1[[#This Row],[수입/지출금액]]))</f>
        <v>840</v>
      </c>
      <c r="I30" s="3"/>
      <c r="J30" s="5"/>
      <c r="K30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31" spans="1:11" ht="19.95" customHeight="1">
      <c r="A31" s="3">
        <v>25</v>
      </c>
      <c r="B31" s="3"/>
      <c r="C31" s="3"/>
      <c r="D31" s="4"/>
      <c r="E31" s="14"/>
      <c r="F31" s="3"/>
      <c r="G31" s="6"/>
      <c r="H31" s="18">
        <f>H30+IF(표1[[#This Row],[항]]="수입",표1[[#This Row],[수입/지출금액]],(-1*표1[[#This Row],[수입/지출금액]]))</f>
        <v>840</v>
      </c>
      <c r="I31" s="3"/>
      <c r="J31" s="5"/>
      <c r="K31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32" spans="1:11" ht="19.95" customHeight="1">
      <c r="A32" s="3">
        <v>26</v>
      </c>
      <c r="B32" s="3"/>
      <c r="C32" s="3"/>
      <c r="D32" s="4"/>
      <c r="E32" s="14"/>
      <c r="F32" s="3"/>
      <c r="G32" s="6"/>
      <c r="H32" s="18">
        <f>H31+IF(표1[[#This Row],[항]]="수입",표1[[#This Row],[수입/지출금액]],(-1*표1[[#This Row],[수입/지출금액]]))</f>
        <v>840</v>
      </c>
      <c r="I32" s="3"/>
      <c r="J32" s="5"/>
      <c r="K32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33" spans="1:11" ht="19.95" customHeight="1">
      <c r="A33" s="3">
        <v>27</v>
      </c>
      <c r="B33" s="3"/>
      <c r="C33" s="3"/>
      <c r="D33" s="4"/>
      <c r="E33" s="14"/>
      <c r="F33" s="3"/>
      <c r="G33" s="6"/>
      <c r="H33" s="18">
        <f>H32+IF(표1[[#This Row],[항]]="수입",표1[[#This Row],[수입/지출금액]],(-1*표1[[#This Row],[수입/지출금액]]))</f>
        <v>840</v>
      </c>
      <c r="I33" s="3"/>
      <c r="J33" s="5"/>
      <c r="K33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34" spans="1:11" ht="19.95" customHeight="1">
      <c r="A34" s="3">
        <v>28</v>
      </c>
      <c r="B34" s="3"/>
      <c r="C34" s="3"/>
      <c r="D34" s="4"/>
      <c r="E34" s="14"/>
      <c r="F34" s="3"/>
      <c r="G34" s="6"/>
      <c r="H34" s="18">
        <f>H33+IF(표1[[#This Row],[항]]="수입",표1[[#This Row],[수입/지출금액]],(-1*표1[[#This Row],[수입/지출금액]]))</f>
        <v>840</v>
      </c>
      <c r="I34" s="3"/>
      <c r="J34" s="5"/>
      <c r="K34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35" spans="1:11" ht="19.95" customHeight="1">
      <c r="A35" s="3">
        <v>29</v>
      </c>
      <c r="B35" s="3"/>
      <c r="C35" s="3"/>
      <c r="D35" s="4"/>
      <c r="E35" s="14"/>
      <c r="F35" s="3"/>
      <c r="G35" s="6"/>
      <c r="H35" s="18">
        <f>H34+IF(표1[[#This Row],[항]]="수입",표1[[#This Row],[수입/지출금액]],(-1*표1[[#This Row],[수입/지출금액]]))</f>
        <v>840</v>
      </c>
      <c r="I35" s="3"/>
      <c r="J35" s="5"/>
      <c r="K35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36" spans="1:11" ht="19.95" customHeight="1">
      <c r="A36" s="3">
        <v>30</v>
      </c>
      <c r="B36" s="3"/>
      <c r="C36" s="3"/>
      <c r="D36" s="4"/>
      <c r="E36" s="14"/>
      <c r="F36" s="3"/>
      <c r="G36" s="6"/>
      <c r="H36" s="18">
        <f>H35+IF(표1[[#This Row],[항]]="수입",표1[[#This Row],[수입/지출금액]],(-1*표1[[#This Row],[수입/지출금액]]))</f>
        <v>840</v>
      </c>
      <c r="I36" s="3"/>
      <c r="J36" s="5"/>
      <c r="K36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37" spans="1:11" ht="19.95" customHeight="1">
      <c r="A37" s="3">
        <v>31</v>
      </c>
      <c r="B37" s="3"/>
      <c r="C37" s="3"/>
      <c r="D37" s="4"/>
      <c r="E37" s="14"/>
      <c r="F37" s="3"/>
      <c r="G37" s="6"/>
      <c r="H37" s="18">
        <f>H36+IF(표1[[#This Row],[항]]="수입",표1[[#This Row],[수입/지출금액]],(-1*표1[[#This Row],[수입/지출금액]]))</f>
        <v>840</v>
      </c>
      <c r="I37" s="3"/>
      <c r="J37" s="5"/>
      <c r="K37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38" spans="1:11" ht="19.95" customHeight="1">
      <c r="A38" s="3">
        <v>32</v>
      </c>
      <c r="B38" s="3"/>
      <c r="C38" s="3"/>
      <c r="D38" s="4"/>
      <c r="E38" s="14"/>
      <c r="F38" s="3"/>
      <c r="G38" s="6"/>
      <c r="H38" s="18">
        <f>H37+IF(표1[[#This Row],[항]]="수입",표1[[#This Row],[수입/지출금액]],(-1*표1[[#This Row],[수입/지출금액]]))</f>
        <v>840</v>
      </c>
      <c r="I38" s="3"/>
      <c r="J38" s="5"/>
      <c r="K38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39" spans="1:11" ht="19.95" customHeight="1">
      <c r="A39" s="3">
        <v>33</v>
      </c>
      <c r="B39" s="3"/>
      <c r="C39" s="3"/>
      <c r="D39" s="4"/>
      <c r="E39" s="14"/>
      <c r="F39" s="3"/>
      <c r="G39" s="6"/>
      <c r="H39" s="18">
        <f>H38+IF(표1[[#This Row],[항]]="수입",표1[[#This Row],[수입/지출금액]],(-1*표1[[#This Row],[수입/지출금액]]))</f>
        <v>840</v>
      </c>
      <c r="I39" s="3"/>
      <c r="J39" s="5"/>
      <c r="K39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40" spans="1:11" ht="19.95" customHeight="1">
      <c r="A40" s="3">
        <v>34</v>
      </c>
      <c r="B40" s="3"/>
      <c r="C40" s="3"/>
      <c r="D40" s="4"/>
      <c r="E40" s="14"/>
      <c r="F40" s="3"/>
      <c r="G40" s="6"/>
      <c r="H40" s="18">
        <f>H39+IF(표1[[#This Row],[항]]="수입",표1[[#This Row],[수입/지출금액]],(-1*표1[[#This Row],[수입/지출금액]]))</f>
        <v>840</v>
      </c>
      <c r="I40" s="3"/>
      <c r="J40" s="5"/>
      <c r="K40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41" spans="1:11" ht="19.95" customHeight="1">
      <c r="A41" s="3">
        <v>35</v>
      </c>
      <c r="B41" s="3"/>
      <c r="C41" s="3"/>
      <c r="D41" s="4"/>
      <c r="E41" s="14"/>
      <c r="F41" s="3"/>
      <c r="G41" s="6"/>
      <c r="H41" s="18">
        <f>H40+IF(표1[[#This Row],[항]]="수입",표1[[#This Row],[수입/지출금액]],(-1*표1[[#This Row],[수입/지출금액]]))</f>
        <v>840</v>
      </c>
      <c r="I41" s="3"/>
      <c r="J41" s="5"/>
      <c r="K41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42" spans="1:11" ht="19.95" customHeight="1">
      <c r="A42" s="3">
        <v>36</v>
      </c>
      <c r="B42" s="3"/>
      <c r="C42" s="3"/>
      <c r="D42" s="4"/>
      <c r="E42" s="14"/>
      <c r="F42" s="3"/>
      <c r="G42" s="6"/>
      <c r="H42" s="18">
        <f>H41+IF(표1[[#This Row],[항]]="수입",표1[[#This Row],[수입/지출금액]],(-1*표1[[#This Row],[수입/지출금액]]))</f>
        <v>840</v>
      </c>
      <c r="I42" s="3"/>
      <c r="J42" s="5"/>
      <c r="K42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43" spans="1:11" ht="19.95" customHeight="1">
      <c r="A43" s="3">
        <v>37</v>
      </c>
      <c r="B43" s="3"/>
      <c r="C43" s="3"/>
      <c r="D43" s="4"/>
      <c r="E43" s="14"/>
      <c r="F43" s="3"/>
      <c r="G43" s="6"/>
      <c r="H43" s="18">
        <f>H42+IF(표1[[#This Row],[항]]="수입",표1[[#This Row],[수입/지출금액]],(-1*표1[[#This Row],[수입/지출금액]]))</f>
        <v>840</v>
      </c>
      <c r="I43" s="3"/>
      <c r="J43" s="5"/>
      <c r="K43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44" spans="1:11" ht="19.95" customHeight="1">
      <c r="A44" s="3">
        <v>38</v>
      </c>
      <c r="B44" s="3"/>
      <c r="C44" s="3"/>
      <c r="D44" s="4"/>
      <c r="E44" s="14"/>
      <c r="F44" s="3"/>
      <c r="G44" s="6"/>
      <c r="H44" s="18">
        <f>H43+IF(표1[[#This Row],[항]]="수입",표1[[#This Row],[수입/지출금액]],(-1*표1[[#This Row],[수입/지출금액]]))</f>
        <v>840</v>
      </c>
      <c r="I44" s="3"/>
      <c r="J44" s="5"/>
      <c r="K44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45" spans="1:11" ht="19.95" customHeight="1">
      <c r="A45" s="3">
        <v>39</v>
      </c>
      <c r="B45" s="3"/>
      <c r="C45" s="3"/>
      <c r="D45" s="4"/>
      <c r="E45" s="14"/>
      <c r="F45" s="3"/>
      <c r="G45" s="6"/>
      <c r="H45" s="18">
        <f>H44+IF(표1[[#This Row],[항]]="수입",표1[[#This Row],[수입/지출금액]],(-1*표1[[#This Row],[수입/지출금액]]))</f>
        <v>840</v>
      </c>
      <c r="I45" s="3"/>
      <c r="J45" s="5"/>
      <c r="K45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46" spans="1:11" ht="19.95" customHeight="1">
      <c r="A46" s="3">
        <v>40</v>
      </c>
      <c r="B46" s="3"/>
      <c r="C46" s="3"/>
      <c r="D46" s="4"/>
      <c r="E46" s="14"/>
      <c r="F46" s="3"/>
      <c r="G46" s="6"/>
      <c r="H46" s="18">
        <f>H45+IF(표1[[#This Row],[항]]="수입",표1[[#This Row],[수입/지출금액]],(-1*표1[[#This Row],[수입/지출금액]]))</f>
        <v>840</v>
      </c>
      <c r="I46" s="3"/>
      <c r="J46" s="5"/>
      <c r="K46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47" spans="1:11" ht="19.95" customHeight="1">
      <c r="A47" s="3">
        <v>41</v>
      </c>
      <c r="B47" s="3"/>
      <c r="C47" s="3"/>
      <c r="D47" s="4"/>
      <c r="E47" s="14"/>
      <c r="F47" s="3"/>
      <c r="G47" s="6"/>
      <c r="H47" s="18">
        <f>H46+IF(표1[[#This Row],[항]]="수입",표1[[#This Row],[수입/지출금액]],(-1*표1[[#This Row],[수입/지출금액]]))</f>
        <v>840</v>
      </c>
      <c r="I47" s="3"/>
      <c r="J47" s="5"/>
      <c r="K47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48" spans="1:11" ht="19.95" customHeight="1">
      <c r="A48" s="3">
        <v>42</v>
      </c>
      <c r="B48" s="3"/>
      <c r="C48" s="3"/>
      <c r="D48" s="4"/>
      <c r="E48" s="14"/>
      <c r="F48" s="3"/>
      <c r="G48" s="6"/>
      <c r="H48" s="18">
        <f>H47+IF(표1[[#This Row],[항]]="수입",표1[[#This Row],[수입/지출금액]],(-1*표1[[#This Row],[수입/지출금액]]))</f>
        <v>840</v>
      </c>
      <c r="I48" s="3"/>
      <c r="J48" s="5"/>
      <c r="K48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49" spans="1:11" ht="19.95" customHeight="1">
      <c r="A49" s="3">
        <v>43</v>
      </c>
      <c r="B49" s="3"/>
      <c r="C49" s="3"/>
      <c r="D49" s="4"/>
      <c r="E49" s="14"/>
      <c r="F49" s="3"/>
      <c r="G49" s="6"/>
      <c r="H49" s="18">
        <f>H48+IF(표1[[#This Row],[항]]="수입",표1[[#This Row],[수입/지출금액]],(-1*표1[[#This Row],[수입/지출금액]]))</f>
        <v>840</v>
      </c>
      <c r="I49" s="3"/>
      <c r="J49" s="5"/>
      <c r="K49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50" spans="1:11" ht="19.95" customHeight="1">
      <c r="A50" s="3">
        <v>44</v>
      </c>
      <c r="B50" s="3"/>
      <c r="C50" s="3"/>
      <c r="D50" s="4"/>
      <c r="E50" s="14"/>
      <c r="F50" s="3"/>
      <c r="G50" s="6"/>
      <c r="H50" s="18">
        <f>H49+IF(표1[[#This Row],[항]]="수입",표1[[#This Row],[수입/지출금액]],(-1*표1[[#This Row],[수입/지출금액]]))</f>
        <v>840</v>
      </c>
      <c r="I50" s="3"/>
      <c r="J50" s="5"/>
      <c r="K50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51" spans="1:11" ht="19.95" customHeight="1">
      <c r="A51" s="3">
        <v>45</v>
      </c>
      <c r="B51" s="3"/>
      <c r="C51" s="3"/>
      <c r="D51" s="4"/>
      <c r="E51" s="14"/>
      <c r="F51" s="3"/>
      <c r="G51" s="6"/>
      <c r="H51" s="18">
        <f>H50+IF(표1[[#This Row],[항]]="수입",표1[[#This Row],[수입/지출금액]],(-1*표1[[#This Row],[수입/지출금액]]))</f>
        <v>840</v>
      </c>
      <c r="I51" s="3"/>
      <c r="J51" s="5"/>
      <c r="K51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52" spans="1:11" ht="19.95" customHeight="1">
      <c r="A52" s="3">
        <v>46</v>
      </c>
      <c r="B52" s="3"/>
      <c r="C52" s="3"/>
      <c r="D52" s="4"/>
      <c r="E52" s="14"/>
      <c r="F52" s="3"/>
      <c r="G52" s="6"/>
      <c r="H52" s="18">
        <f>H51+IF(표1[[#This Row],[항]]="수입",표1[[#This Row],[수입/지출금액]],(-1*표1[[#This Row],[수입/지출금액]]))</f>
        <v>840</v>
      </c>
      <c r="I52" s="3"/>
      <c r="J52" s="5"/>
      <c r="K52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53" spans="1:11" ht="19.95" customHeight="1">
      <c r="A53" s="3">
        <v>47</v>
      </c>
      <c r="B53" s="3"/>
      <c r="C53" s="3"/>
      <c r="D53" s="4"/>
      <c r="E53" s="14"/>
      <c r="F53" s="3"/>
      <c r="G53" s="6"/>
      <c r="H53" s="18">
        <f>H52+IF(표1[[#This Row],[항]]="수입",표1[[#This Row],[수입/지출금액]],(-1*표1[[#This Row],[수입/지출금액]]))</f>
        <v>840</v>
      </c>
      <c r="I53" s="3"/>
      <c r="J53" s="5"/>
      <c r="K53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54" spans="1:11" ht="19.95" customHeight="1">
      <c r="A54" s="3">
        <v>48</v>
      </c>
      <c r="B54" s="3"/>
      <c r="C54" s="3"/>
      <c r="D54" s="4"/>
      <c r="E54" s="14"/>
      <c r="F54" s="3"/>
      <c r="G54" s="6"/>
      <c r="H54" s="18">
        <f>H53+IF(표1[[#This Row],[항]]="수입",표1[[#This Row],[수입/지출금액]],(-1*표1[[#This Row],[수입/지출금액]]))</f>
        <v>840</v>
      </c>
      <c r="I54" s="3"/>
      <c r="J54" s="5"/>
      <c r="K54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55" spans="1:11" ht="19.95" customHeight="1">
      <c r="A55" s="3">
        <v>49</v>
      </c>
      <c r="B55" s="3"/>
      <c r="C55" s="3"/>
      <c r="D55" s="4"/>
      <c r="E55" s="14"/>
      <c r="F55" s="3"/>
      <c r="G55" s="6"/>
      <c r="H55" s="18">
        <f>H54+IF(표1[[#This Row],[항]]="수입",표1[[#This Row],[수입/지출금액]],(-1*표1[[#This Row],[수입/지출금액]]))</f>
        <v>840</v>
      </c>
      <c r="I55" s="3"/>
      <c r="J55" s="5"/>
      <c r="K55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56" spans="1:11" ht="19.95" customHeight="1">
      <c r="A56" s="3">
        <v>50</v>
      </c>
      <c r="B56" s="3"/>
      <c r="C56" s="3"/>
      <c r="D56" s="4"/>
      <c r="E56" s="14"/>
      <c r="F56" s="3"/>
      <c r="G56" s="6"/>
      <c r="H56" s="18">
        <f>H55+IF(표1[[#This Row],[항]]="수입",표1[[#This Row],[수입/지출금액]],(-1*표1[[#This Row],[수입/지출금액]]))</f>
        <v>840</v>
      </c>
      <c r="I56" s="3"/>
      <c r="J56" s="5"/>
      <c r="K56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57" spans="1:11" ht="19.95" customHeight="1">
      <c r="A57" s="3">
        <v>51</v>
      </c>
      <c r="B57" s="3"/>
      <c r="C57" s="3"/>
      <c r="D57" s="4"/>
      <c r="E57" s="14"/>
      <c r="F57" s="3"/>
      <c r="G57" s="6"/>
      <c r="H57" s="18">
        <f>H56+IF(표1[[#This Row],[항]]="수입",표1[[#This Row],[수입/지출금액]],(-1*표1[[#This Row],[수입/지출금액]]))</f>
        <v>840</v>
      </c>
      <c r="I57" s="3"/>
      <c r="J57" s="5"/>
      <c r="K57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58" spans="1:11" ht="19.95" customHeight="1">
      <c r="A58" s="3">
        <v>52</v>
      </c>
      <c r="B58" s="3"/>
      <c r="C58" s="3"/>
      <c r="D58" s="4"/>
      <c r="E58" s="14"/>
      <c r="F58" s="3"/>
      <c r="G58" s="6"/>
      <c r="H58" s="18">
        <f>H57+IF(표1[[#This Row],[항]]="수입",표1[[#This Row],[수입/지출금액]],(-1*표1[[#This Row],[수입/지출금액]]))</f>
        <v>840</v>
      </c>
      <c r="I58" s="3"/>
      <c r="J58" s="5"/>
      <c r="K58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59" spans="1:11" ht="19.95" customHeight="1">
      <c r="A59" s="3">
        <v>53</v>
      </c>
      <c r="B59" s="3"/>
      <c r="C59" s="3"/>
      <c r="D59" s="4"/>
      <c r="E59" s="14"/>
      <c r="F59" s="3"/>
      <c r="G59" s="6"/>
      <c r="H59" s="18">
        <f>H58+IF(표1[[#This Row],[항]]="수입",표1[[#This Row],[수입/지출금액]],(-1*표1[[#This Row],[수입/지출금액]]))</f>
        <v>840</v>
      </c>
      <c r="I59" s="3"/>
      <c r="J59" s="5"/>
      <c r="K59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60" spans="1:11" ht="19.95" customHeight="1">
      <c r="A60" s="3">
        <v>54</v>
      </c>
      <c r="B60" s="3"/>
      <c r="C60" s="3"/>
      <c r="D60" s="4"/>
      <c r="E60" s="14"/>
      <c r="F60" s="3"/>
      <c r="G60" s="6"/>
      <c r="H60" s="18">
        <f>H59+IF(표1[[#This Row],[항]]="수입",표1[[#This Row],[수입/지출금액]],(-1*표1[[#This Row],[수입/지출금액]]))</f>
        <v>840</v>
      </c>
      <c r="I60" s="3"/>
      <c r="J60" s="5"/>
      <c r="K60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61" spans="1:11" ht="19.95" customHeight="1">
      <c r="A61" s="3">
        <v>55</v>
      </c>
      <c r="B61" s="3"/>
      <c r="C61" s="3"/>
      <c r="D61" s="4"/>
      <c r="E61" s="14"/>
      <c r="F61" s="3"/>
      <c r="G61" s="6"/>
      <c r="H61" s="18">
        <f>H60+IF(표1[[#This Row],[항]]="수입",표1[[#This Row],[수입/지출금액]],(-1*표1[[#This Row],[수입/지출금액]]))</f>
        <v>840</v>
      </c>
      <c r="I61" s="3"/>
      <c r="J61" s="5"/>
      <c r="K61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62" spans="1:11" ht="19.95" customHeight="1">
      <c r="A62" s="3">
        <v>56</v>
      </c>
      <c r="B62" s="3"/>
      <c r="C62" s="3"/>
      <c r="D62" s="4"/>
      <c r="E62" s="14"/>
      <c r="F62" s="3"/>
      <c r="G62" s="6"/>
      <c r="H62" s="18">
        <f>H61+IF(표1[[#This Row],[항]]="수입",표1[[#This Row],[수입/지출금액]],(-1*표1[[#This Row],[수입/지출금액]]))</f>
        <v>840</v>
      </c>
      <c r="I62" s="3"/>
      <c r="J62" s="5"/>
      <c r="K62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63" spans="1:11" ht="19.95" customHeight="1">
      <c r="A63" s="3">
        <v>57</v>
      </c>
      <c r="B63" s="3"/>
      <c r="C63" s="3"/>
      <c r="D63" s="4"/>
      <c r="E63" s="14"/>
      <c r="F63" s="3"/>
      <c r="G63" s="6"/>
      <c r="H63" s="18">
        <f>H62+IF(표1[[#This Row],[항]]="수입",표1[[#This Row],[수입/지출금액]],(-1*표1[[#This Row],[수입/지출금액]]))</f>
        <v>840</v>
      </c>
      <c r="I63" s="3"/>
      <c r="J63" s="5"/>
      <c r="K63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64" spans="1:11" ht="19.95" customHeight="1">
      <c r="A64" s="3">
        <v>58</v>
      </c>
      <c r="B64" s="3"/>
      <c r="C64" s="3"/>
      <c r="D64" s="4"/>
      <c r="E64" s="14"/>
      <c r="F64" s="3"/>
      <c r="G64" s="6"/>
      <c r="H64" s="18">
        <f>H63+IF(표1[[#This Row],[항]]="수입",표1[[#This Row],[수입/지출금액]],(-1*표1[[#This Row],[수입/지출금액]]))</f>
        <v>840</v>
      </c>
      <c r="I64" s="3"/>
      <c r="J64" s="5"/>
      <c r="K64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65" spans="1:11" ht="19.95" customHeight="1">
      <c r="A65" s="3">
        <v>59</v>
      </c>
      <c r="B65" s="3"/>
      <c r="C65" s="3"/>
      <c r="D65" s="4"/>
      <c r="E65" s="14"/>
      <c r="F65" s="3"/>
      <c r="G65" s="6"/>
      <c r="H65" s="18">
        <f>H64+IF(표1[[#This Row],[항]]="수입",표1[[#This Row],[수입/지출금액]],(-1*표1[[#This Row],[수입/지출금액]]))</f>
        <v>840</v>
      </c>
      <c r="I65" s="3"/>
      <c r="J65" s="5"/>
      <c r="K65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66" spans="1:11" ht="19.95" customHeight="1">
      <c r="A66" s="3">
        <v>60</v>
      </c>
      <c r="B66" s="3"/>
      <c r="C66" s="3"/>
      <c r="D66" s="4"/>
      <c r="E66" s="14"/>
      <c r="F66" s="3"/>
      <c r="G66" s="6"/>
      <c r="H66" s="18">
        <f>H65+IF(표1[[#This Row],[항]]="수입",표1[[#This Row],[수입/지출금액]],(-1*표1[[#This Row],[수입/지출금액]]))</f>
        <v>840</v>
      </c>
      <c r="I66" s="3"/>
      <c r="J66" s="5"/>
      <c r="K66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67" spans="1:11" ht="19.95" customHeight="1">
      <c r="A67" s="3">
        <v>61</v>
      </c>
      <c r="B67" s="3"/>
      <c r="C67" s="3"/>
      <c r="D67" s="4"/>
      <c r="E67" s="14"/>
      <c r="F67" s="3"/>
      <c r="G67" s="6"/>
      <c r="H67" s="18">
        <f>H66+IF(표1[[#This Row],[항]]="수입",표1[[#This Row],[수입/지출금액]],(-1*표1[[#This Row],[수입/지출금액]]))</f>
        <v>840</v>
      </c>
      <c r="I67" s="3"/>
      <c r="J67" s="5"/>
      <c r="K67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68" spans="1:11" ht="19.95" customHeight="1">
      <c r="A68" s="3">
        <v>62</v>
      </c>
      <c r="B68" s="3"/>
      <c r="C68" s="3"/>
      <c r="D68" s="4"/>
      <c r="E68" s="14"/>
      <c r="F68" s="3"/>
      <c r="G68" s="6"/>
      <c r="H68" s="18">
        <f>H67+IF(표1[[#This Row],[항]]="수입",표1[[#This Row],[수입/지출금액]],(-1*표1[[#This Row],[수입/지출금액]]))</f>
        <v>840</v>
      </c>
      <c r="I68" s="3"/>
      <c r="J68" s="5"/>
      <c r="K68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69" spans="1:11" ht="19.95" customHeight="1">
      <c r="A69" s="3">
        <v>63</v>
      </c>
      <c r="B69" s="3"/>
      <c r="C69" s="3"/>
      <c r="D69" s="4"/>
      <c r="E69" s="14"/>
      <c r="F69" s="3"/>
      <c r="G69" s="6"/>
      <c r="H69" s="18">
        <f>H68+IF(표1[[#This Row],[항]]="수입",표1[[#This Row],[수입/지출금액]],(-1*표1[[#This Row],[수입/지출금액]]))</f>
        <v>840</v>
      </c>
      <c r="I69" s="3"/>
      <c r="J69" s="5"/>
      <c r="K69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70" spans="1:11" ht="19.95" customHeight="1">
      <c r="A70" s="3">
        <v>64</v>
      </c>
      <c r="B70" s="3"/>
      <c r="C70" s="3"/>
      <c r="D70" s="4"/>
      <c r="E70" s="14"/>
      <c r="F70" s="3"/>
      <c r="G70" s="6"/>
      <c r="H70" s="18">
        <f>H69+IF(표1[[#This Row],[항]]="수입",표1[[#This Row],[수입/지출금액]],(-1*표1[[#This Row],[수입/지출금액]]))</f>
        <v>840</v>
      </c>
      <c r="I70" s="3"/>
      <c r="J70" s="5"/>
      <c r="K70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71" spans="1:11" ht="19.95" customHeight="1">
      <c r="A71" s="3">
        <v>65</v>
      </c>
      <c r="B71" s="3"/>
      <c r="C71" s="3"/>
      <c r="D71" s="4"/>
      <c r="E71" s="14"/>
      <c r="F71" s="3"/>
      <c r="G71" s="6"/>
      <c r="H71" s="18">
        <f>H70+IF(표1[[#This Row],[항]]="수입",표1[[#This Row],[수입/지출금액]],(-1*표1[[#This Row],[수입/지출금액]]))</f>
        <v>840</v>
      </c>
      <c r="I71" s="3"/>
      <c r="J71" s="5"/>
      <c r="K71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72" spans="1:11" ht="19.95" customHeight="1">
      <c r="A72" s="3">
        <v>66</v>
      </c>
      <c r="B72" s="3"/>
      <c r="C72" s="3"/>
      <c r="D72" s="4"/>
      <c r="E72" s="14"/>
      <c r="F72" s="3"/>
      <c r="G72" s="6"/>
      <c r="H72" s="18">
        <f>H71+IF(표1[[#This Row],[항]]="수입",표1[[#This Row],[수입/지출금액]],(-1*표1[[#This Row],[수입/지출금액]]))</f>
        <v>840</v>
      </c>
      <c r="I72" s="3"/>
      <c r="J72" s="5"/>
      <c r="K72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73" spans="1:11" ht="19.95" customHeight="1">
      <c r="A73" s="3">
        <v>67</v>
      </c>
      <c r="B73" s="3"/>
      <c r="C73" s="3"/>
      <c r="D73" s="4"/>
      <c r="E73" s="14"/>
      <c r="F73" s="3"/>
      <c r="G73" s="6"/>
      <c r="H73" s="18">
        <f>H72+IF(표1[[#This Row],[항]]="수입",표1[[#This Row],[수입/지출금액]],(-1*표1[[#This Row],[수입/지출금액]]))</f>
        <v>840</v>
      </c>
      <c r="I73" s="3"/>
      <c r="J73" s="5"/>
      <c r="K73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74" spans="1:11" ht="19.95" customHeight="1">
      <c r="A74" s="3">
        <v>68</v>
      </c>
      <c r="B74" s="3"/>
      <c r="C74" s="3"/>
      <c r="D74" s="4"/>
      <c r="E74" s="14"/>
      <c r="F74" s="3"/>
      <c r="G74" s="6"/>
      <c r="H74" s="18">
        <f>H73+IF(표1[[#This Row],[항]]="수입",표1[[#This Row],[수입/지출금액]],(-1*표1[[#This Row],[수입/지출금액]]))</f>
        <v>840</v>
      </c>
      <c r="I74" s="3"/>
      <c r="J74" s="5"/>
      <c r="K74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75" spans="1:11" ht="19.95" customHeight="1">
      <c r="A75" s="3">
        <v>69</v>
      </c>
      <c r="B75" s="3"/>
      <c r="C75" s="3"/>
      <c r="D75" s="4"/>
      <c r="E75" s="14"/>
      <c r="F75" s="3"/>
      <c r="G75" s="6"/>
      <c r="H75" s="18">
        <f>H74+IF(표1[[#This Row],[항]]="수입",표1[[#This Row],[수입/지출금액]],(-1*표1[[#This Row],[수입/지출금액]]))</f>
        <v>840</v>
      </c>
      <c r="I75" s="3"/>
      <c r="J75" s="5"/>
      <c r="K75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76" spans="1:11" ht="19.95" customHeight="1">
      <c r="A76" s="3">
        <v>70</v>
      </c>
      <c r="B76" s="3"/>
      <c r="C76" s="3"/>
      <c r="D76" s="4"/>
      <c r="E76" s="14"/>
      <c r="F76" s="3"/>
      <c r="G76" s="6"/>
      <c r="H76" s="18">
        <f>H75+IF(표1[[#This Row],[항]]="수입",표1[[#This Row],[수입/지출금액]],(-1*표1[[#This Row],[수입/지출금액]]))</f>
        <v>840</v>
      </c>
      <c r="I76" s="3"/>
      <c r="J76" s="5"/>
      <c r="K76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77" spans="1:11" ht="19.95" customHeight="1">
      <c r="A77" s="3">
        <v>71</v>
      </c>
      <c r="B77" s="3"/>
      <c r="C77" s="3"/>
      <c r="D77" s="4"/>
      <c r="E77" s="14"/>
      <c r="F77" s="3"/>
      <c r="G77" s="6"/>
      <c r="H77" s="18">
        <f>H76+IF(표1[[#This Row],[항]]="수입",표1[[#This Row],[수입/지출금액]],(-1*표1[[#This Row],[수입/지출금액]]))</f>
        <v>840</v>
      </c>
      <c r="I77" s="3"/>
      <c r="J77" s="5"/>
      <c r="K77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78" spans="1:11" ht="19.95" customHeight="1">
      <c r="A78" s="3">
        <v>72</v>
      </c>
      <c r="B78" s="3"/>
      <c r="C78" s="3"/>
      <c r="D78" s="4"/>
      <c r="E78" s="14"/>
      <c r="F78" s="3"/>
      <c r="G78" s="6"/>
      <c r="H78" s="18">
        <f>H77+IF(표1[[#This Row],[항]]="수입",표1[[#This Row],[수입/지출금액]],(-1*표1[[#This Row],[수입/지출금액]]))</f>
        <v>840</v>
      </c>
      <c r="I78" s="3"/>
      <c r="J78" s="5"/>
      <c r="K78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79" spans="1:11" ht="19.95" customHeight="1">
      <c r="A79" s="3">
        <v>73</v>
      </c>
      <c r="B79" s="3"/>
      <c r="C79" s="3"/>
      <c r="D79" s="4"/>
      <c r="E79" s="14"/>
      <c r="F79" s="3"/>
      <c r="G79" s="6"/>
      <c r="H79" s="18">
        <f>H78+IF(표1[[#This Row],[항]]="수입",표1[[#This Row],[수입/지출금액]],(-1*표1[[#This Row],[수입/지출금액]]))</f>
        <v>840</v>
      </c>
      <c r="I79" s="3"/>
      <c r="J79" s="5"/>
      <c r="K79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80" spans="1:11" ht="19.95" customHeight="1">
      <c r="A80" s="3">
        <v>74</v>
      </c>
      <c r="B80" s="3"/>
      <c r="C80" s="3"/>
      <c r="D80" s="4"/>
      <c r="E80" s="14"/>
      <c r="F80" s="3"/>
      <c r="G80" s="6"/>
      <c r="H80" s="18">
        <f>H79+IF(표1[[#This Row],[항]]="수입",표1[[#This Row],[수입/지출금액]],(-1*표1[[#This Row],[수입/지출금액]]))</f>
        <v>840</v>
      </c>
      <c r="I80" s="3"/>
      <c r="J80" s="5"/>
      <c r="K80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81" spans="1:11" ht="19.95" customHeight="1">
      <c r="A81" s="3">
        <v>75</v>
      </c>
      <c r="B81" s="3"/>
      <c r="C81" s="3"/>
      <c r="D81" s="4"/>
      <c r="E81" s="14"/>
      <c r="F81" s="3"/>
      <c r="G81" s="6"/>
      <c r="H81" s="18">
        <f>H80+IF(표1[[#This Row],[항]]="수입",표1[[#This Row],[수입/지출금액]],(-1*표1[[#This Row],[수입/지출금액]]))</f>
        <v>840</v>
      </c>
      <c r="I81" s="3"/>
      <c r="J81" s="5"/>
      <c r="K81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82" spans="1:11" ht="19.95" customHeight="1">
      <c r="A82" s="3">
        <v>76</v>
      </c>
      <c r="B82" s="3"/>
      <c r="C82" s="3"/>
      <c r="D82" s="4"/>
      <c r="E82" s="14"/>
      <c r="F82" s="3"/>
      <c r="G82" s="6"/>
      <c r="H82" s="18">
        <f>H81+IF(표1[[#This Row],[항]]="수입",표1[[#This Row],[수입/지출금액]],(-1*표1[[#This Row],[수입/지출금액]]))</f>
        <v>840</v>
      </c>
      <c r="I82" s="3"/>
      <c r="J82" s="5"/>
      <c r="K82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83" spans="1:11" ht="19.95" customHeight="1">
      <c r="A83" s="3">
        <v>77</v>
      </c>
      <c r="B83" s="3"/>
      <c r="C83" s="3"/>
      <c r="D83" s="4"/>
      <c r="E83" s="14"/>
      <c r="F83" s="3"/>
      <c r="G83" s="6"/>
      <c r="H83" s="18">
        <f>H82+IF(표1[[#This Row],[항]]="수입",표1[[#This Row],[수입/지출금액]],(-1*표1[[#This Row],[수입/지출금액]]))</f>
        <v>840</v>
      </c>
      <c r="I83" s="3"/>
      <c r="J83" s="5"/>
      <c r="K83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84" spans="1:11" ht="19.95" customHeight="1">
      <c r="A84" s="3">
        <v>78</v>
      </c>
      <c r="B84" s="3"/>
      <c r="C84" s="3"/>
      <c r="D84" s="4"/>
      <c r="E84" s="14"/>
      <c r="F84" s="3"/>
      <c r="G84" s="6"/>
      <c r="H84" s="18">
        <f>H83+IF(표1[[#This Row],[항]]="수입",표1[[#This Row],[수입/지출금액]],(-1*표1[[#This Row],[수입/지출금액]]))</f>
        <v>840</v>
      </c>
      <c r="I84" s="3"/>
      <c r="J84" s="5"/>
      <c r="K84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85" spans="1:11" ht="19.95" customHeight="1">
      <c r="A85" s="3">
        <v>79</v>
      </c>
      <c r="B85" s="3"/>
      <c r="C85" s="3"/>
      <c r="D85" s="4"/>
      <c r="E85" s="14"/>
      <c r="F85" s="3"/>
      <c r="G85" s="6"/>
      <c r="H85" s="18">
        <f>H84+IF(표1[[#This Row],[항]]="수입",표1[[#This Row],[수입/지출금액]],(-1*표1[[#This Row],[수입/지출금액]]))</f>
        <v>840</v>
      </c>
      <c r="I85" s="3"/>
      <c r="J85" s="5"/>
      <c r="K85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86" spans="1:11" ht="19.95" customHeight="1">
      <c r="A86" s="3">
        <v>80</v>
      </c>
      <c r="B86" s="3"/>
      <c r="C86" s="3"/>
      <c r="D86" s="4"/>
      <c r="E86" s="14"/>
      <c r="F86" s="3"/>
      <c r="G86" s="6"/>
      <c r="H86" s="18">
        <f>H85+IF(표1[[#This Row],[항]]="수입",표1[[#This Row],[수입/지출금액]],(-1*표1[[#This Row],[수입/지출금액]]))</f>
        <v>840</v>
      </c>
      <c r="I86" s="3"/>
      <c r="J86" s="5"/>
      <c r="K86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87" spans="1:11" ht="19.95" customHeight="1">
      <c r="A87" s="3">
        <v>81</v>
      </c>
      <c r="B87" s="3"/>
      <c r="C87" s="3"/>
      <c r="D87" s="4"/>
      <c r="E87" s="14"/>
      <c r="F87" s="3"/>
      <c r="G87" s="6"/>
      <c r="H87" s="18">
        <f>H86+IF(표1[[#This Row],[항]]="수입",표1[[#This Row],[수입/지출금액]],(-1*표1[[#This Row],[수입/지출금액]]))</f>
        <v>840</v>
      </c>
      <c r="I87" s="3"/>
      <c r="J87" s="5"/>
      <c r="K87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88" spans="1:11" ht="19.95" customHeight="1">
      <c r="A88" s="3">
        <v>82</v>
      </c>
      <c r="B88" s="3"/>
      <c r="C88" s="3"/>
      <c r="D88" s="4"/>
      <c r="E88" s="14"/>
      <c r="F88" s="3"/>
      <c r="G88" s="6"/>
      <c r="H88" s="18">
        <f>H87+IF(표1[[#This Row],[항]]="수입",표1[[#This Row],[수입/지출금액]],(-1*표1[[#This Row],[수입/지출금액]]))</f>
        <v>840</v>
      </c>
      <c r="I88" s="3"/>
      <c r="J88" s="5"/>
      <c r="K88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89" spans="1:11" ht="19.95" customHeight="1">
      <c r="A89" s="3">
        <v>83</v>
      </c>
      <c r="B89" s="3"/>
      <c r="C89" s="3"/>
      <c r="D89" s="4"/>
      <c r="E89" s="14"/>
      <c r="F89" s="3"/>
      <c r="G89" s="6"/>
      <c r="H89" s="18">
        <f>H88+IF(표1[[#This Row],[항]]="수입",표1[[#This Row],[수입/지출금액]],(-1*표1[[#This Row],[수입/지출금액]]))</f>
        <v>840</v>
      </c>
      <c r="I89" s="3"/>
      <c r="J89" s="5"/>
      <c r="K89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90" spans="1:11" ht="19.95" customHeight="1">
      <c r="A90" s="3">
        <v>84</v>
      </c>
      <c r="B90" s="3"/>
      <c r="C90" s="3"/>
      <c r="D90" s="4"/>
      <c r="E90" s="14"/>
      <c r="F90" s="3"/>
      <c r="G90" s="6"/>
      <c r="H90" s="18">
        <f>H89+IF(표1[[#This Row],[항]]="수입",표1[[#This Row],[수입/지출금액]],(-1*표1[[#This Row],[수입/지출금액]]))</f>
        <v>840</v>
      </c>
      <c r="I90" s="3"/>
      <c r="J90" s="5"/>
      <c r="K90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91" spans="1:11" ht="19.95" customHeight="1">
      <c r="A91" s="3">
        <v>85</v>
      </c>
      <c r="B91" s="3"/>
      <c r="C91" s="3"/>
      <c r="D91" s="4"/>
      <c r="E91" s="14"/>
      <c r="F91" s="3"/>
      <c r="G91" s="6"/>
      <c r="H91" s="18">
        <f>H90+IF(표1[[#This Row],[항]]="수입",표1[[#This Row],[수입/지출금액]],(-1*표1[[#This Row],[수입/지출금액]]))</f>
        <v>840</v>
      </c>
      <c r="I91" s="3"/>
      <c r="J91" s="5"/>
      <c r="K91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92" spans="1:11" ht="19.95" customHeight="1">
      <c r="A92" s="3">
        <v>86</v>
      </c>
      <c r="B92" s="3"/>
      <c r="C92" s="3"/>
      <c r="D92" s="4"/>
      <c r="E92" s="14"/>
      <c r="F92" s="3"/>
      <c r="G92" s="6"/>
      <c r="H92" s="18">
        <f>H91+IF(표1[[#This Row],[항]]="수입",표1[[#This Row],[수입/지출금액]],(-1*표1[[#This Row],[수입/지출금액]]))</f>
        <v>840</v>
      </c>
      <c r="I92" s="3"/>
      <c r="J92" s="5"/>
      <c r="K92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93" spans="1:11" ht="19.95" customHeight="1">
      <c r="A93" s="3">
        <v>87</v>
      </c>
      <c r="B93" s="3"/>
      <c r="C93" s="3"/>
      <c r="D93" s="4"/>
      <c r="E93" s="14"/>
      <c r="F93" s="3"/>
      <c r="G93" s="6"/>
      <c r="H93" s="18">
        <f>H92+IF(표1[[#This Row],[항]]="수입",표1[[#This Row],[수입/지출금액]],(-1*표1[[#This Row],[수입/지출금액]]))</f>
        <v>840</v>
      </c>
      <c r="I93" s="3"/>
      <c r="J93" s="5"/>
      <c r="K93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94" spans="1:11" ht="19.95" customHeight="1">
      <c r="A94" s="3">
        <v>88</v>
      </c>
      <c r="B94" s="3"/>
      <c r="C94" s="3"/>
      <c r="D94" s="4"/>
      <c r="E94" s="14"/>
      <c r="F94" s="3"/>
      <c r="G94" s="6"/>
      <c r="H94" s="18">
        <f>H93+IF(표1[[#This Row],[항]]="수입",표1[[#This Row],[수입/지출금액]],(-1*표1[[#This Row],[수입/지출금액]]))</f>
        <v>840</v>
      </c>
      <c r="I94" s="3"/>
      <c r="J94" s="5"/>
      <c r="K94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95" spans="1:11" ht="19.95" customHeight="1">
      <c r="A95" s="3">
        <v>89</v>
      </c>
      <c r="B95" s="3"/>
      <c r="C95" s="3"/>
      <c r="D95" s="4"/>
      <c r="E95" s="14"/>
      <c r="F95" s="3"/>
      <c r="G95" s="6"/>
      <c r="H95" s="18">
        <f>H94+IF(표1[[#This Row],[항]]="수입",표1[[#This Row],[수입/지출금액]],(-1*표1[[#This Row],[수입/지출금액]]))</f>
        <v>840</v>
      </c>
      <c r="I95" s="3"/>
      <c r="J95" s="5"/>
      <c r="K95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96" spans="1:11" ht="19.95" customHeight="1">
      <c r="A96" s="3">
        <v>90</v>
      </c>
      <c r="B96" s="3"/>
      <c r="C96" s="3"/>
      <c r="D96" s="4"/>
      <c r="E96" s="14"/>
      <c r="F96" s="3"/>
      <c r="G96" s="6"/>
      <c r="H96" s="18">
        <f>H95+IF(표1[[#This Row],[항]]="수입",표1[[#This Row],[수입/지출금액]],(-1*표1[[#This Row],[수입/지출금액]]))</f>
        <v>840</v>
      </c>
      <c r="I96" s="3"/>
      <c r="J96" s="5"/>
      <c r="K96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97" spans="1:11" ht="19.95" customHeight="1">
      <c r="A97" s="3">
        <v>91</v>
      </c>
      <c r="B97" s="3"/>
      <c r="C97" s="3"/>
      <c r="D97" s="4"/>
      <c r="E97" s="14"/>
      <c r="F97" s="3"/>
      <c r="G97" s="6"/>
      <c r="H97" s="18">
        <f>H96+IF(표1[[#This Row],[항]]="수입",표1[[#This Row],[수입/지출금액]],(-1*표1[[#This Row],[수입/지출금액]]))</f>
        <v>840</v>
      </c>
      <c r="I97" s="3"/>
      <c r="J97" s="5"/>
      <c r="K97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98" spans="1:11" ht="19.95" customHeight="1">
      <c r="A98" s="3">
        <v>92</v>
      </c>
      <c r="B98" s="3"/>
      <c r="C98" s="3"/>
      <c r="D98" s="4"/>
      <c r="E98" s="14"/>
      <c r="F98" s="3"/>
      <c r="G98" s="6"/>
      <c r="H98" s="18">
        <f>H97+IF(표1[[#This Row],[항]]="수입",표1[[#This Row],[수입/지출금액]],(-1*표1[[#This Row],[수입/지출금액]]))</f>
        <v>840</v>
      </c>
      <c r="I98" s="3"/>
      <c r="J98" s="5"/>
      <c r="K98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99" spans="1:11" ht="19.95" customHeight="1">
      <c r="A99" s="3">
        <v>93</v>
      </c>
      <c r="B99" s="3"/>
      <c r="C99" s="3"/>
      <c r="D99" s="4"/>
      <c r="E99" s="14"/>
      <c r="F99" s="3"/>
      <c r="G99" s="6"/>
      <c r="H99" s="18">
        <f>H98+IF(표1[[#This Row],[항]]="수입",표1[[#This Row],[수입/지출금액]],(-1*표1[[#This Row],[수입/지출금액]]))</f>
        <v>840</v>
      </c>
      <c r="I99" s="3"/>
      <c r="J99" s="5"/>
      <c r="K99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00" spans="1:11" ht="19.95" customHeight="1">
      <c r="A100" s="3">
        <v>94</v>
      </c>
      <c r="B100" s="3"/>
      <c r="C100" s="3"/>
      <c r="D100" s="4"/>
      <c r="E100" s="14"/>
      <c r="F100" s="3"/>
      <c r="G100" s="6"/>
      <c r="H100" s="18">
        <f>H99+IF(표1[[#This Row],[항]]="수입",표1[[#This Row],[수입/지출금액]],(-1*표1[[#This Row],[수입/지출금액]]))</f>
        <v>840</v>
      </c>
      <c r="I100" s="3"/>
      <c r="J100" s="5"/>
      <c r="K100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01" spans="1:11" ht="19.95" customHeight="1">
      <c r="A101" s="3">
        <v>95</v>
      </c>
      <c r="B101" s="3"/>
      <c r="C101" s="3"/>
      <c r="D101" s="4"/>
      <c r="E101" s="14"/>
      <c r="F101" s="3"/>
      <c r="G101" s="6"/>
      <c r="H101" s="18">
        <f>H100+IF(표1[[#This Row],[항]]="수입",표1[[#This Row],[수입/지출금액]],(-1*표1[[#This Row],[수입/지출금액]]))</f>
        <v>840</v>
      </c>
      <c r="I101" s="3"/>
      <c r="J101" s="5"/>
      <c r="K101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02" spans="1:11" ht="19.95" customHeight="1">
      <c r="A102" s="3">
        <v>96</v>
      </c>
      <c r="B102" s="3"/>
      <c r="C102" s="3"/>
      <c r="D102" s="4"/>
      <c r="E102" s="14"/>
      <c r="F102" s="3"/>
      <c r="G102" s="6"/>
      <c r="H102" s="18">
        <f>H101+IF(표1[[#This Row],[항]]="수입",표1[[#This Row],[수입/지출금액]],(-1*표1[[#This Row],[수입/지출금액]]))</f>
        <v>840</v>
      </c>
      <c r="I102" s="3"/>
      <c r="J102" s="5"/>
      <c r="K102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03" spans="1:11" ht="19.95" customHeight="1">
      <c r="A103" s="3">
        <v>97</v>
      </c>
      <c r="B103" s="3"/>
      <c r="C103" s="3"/>
      <c r="D103" s="4"/>
      <c r="E103" s="14"/>
      <c r="F103" s="3"/>
      <c r="G103" s="6"/>
      <c r="H103" s="18">
        <f>H102+IF(표1[[#This Row],[항]]="수입",표1[[#This Row],[수입/지출금액]],(-1*표1[[#This Row],[수입/지출금액]]))</f>
        <v>840</v>
      </c>
      <c r="I103" s="3"/>
      <c r="J103" s="5"/>
      <c r="K103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04" spans="1:11" ht="19.95" customHeight="1">
      <c r="A104" s="3">
        <v>98</v>
      </c>
      <c r="B104" s="3"/>
      <c r="C104" s="3"/>
      <c r="D104" s="4"/>
      <c r="E104" s="14"/>
      <c r="F104" s="3"/>
      <c r="G104" s="6"/>
      <c r="H104" s="18">
        <f>H103+IF(표1[[#This Row],[항]]="수입",표1[[#This Row],[수입/지출금액]],(-1*표1[[#This Row],[수입/지출금액]]))</f>
        <v>840</v>
      </c>
      <c r="I104" s="3"/>
      <c r="J104" s="5"/>
      <c r="K104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05" spans="1:11" ht="19.95" customHeight="1">
      <c r="A105" s="3">
        <v>99</v>
      </c>
      <c r="B105" s="3"/>
      <c r="C105" s="3"/>
      <c r="D105" s="4"/>
      <c r="E105" s="14"/>
      <c r="F105" s="3"/>
      <c r="G105" s="6"/>
      <c r="H105" s="18">
        <f>H104+IF(표1[[#This Row],[항]]="수입",표1[[#This Row],[수입/지출금액]],(-1*표1[[#This Row],[수입/지출금액]]))</f>
        <v>840</v>
      </c>
      <c r="I105" s="3"/>
      <c r="J105" s="5"/>
      <c r="K105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06" spans="1:11" ht="19.95" customHeight="1">
      <c r="A106" s="3">
        <v>100</v>
      </c>
      <c r="B106" s="3"/>
      <c r="C106" s="3"/>
      <c r="D106" s="4"/>
      <c r="E106" s="14"/>
      <c r="F106" s="3"/>
      <c r="G106" s="6"/>
      <c r="H106" s="18">
        <f>H105+IF(표1[[#This Row],[항]]="수입",표1[[#This Row],[수입/지출금액]],(-1*표1[[#This Row],[수입/지출금액]]))</f>
        <v>840</v>
      </c>
      <c r="I106" s="3"/>
      <c r="J106" s="5"/>
      <c r="K106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07" spans="1:11" ht="19.95" customHeight="1">
      <c r="A107" s="3">
        <v>101</v>
      </c>
      <c r="B107" s="3"/>
      <c r="C107" s="3"/>
      <c r="D107" s="4"/>
      <c r="E107" s="14"/>
      <c r="F107" s="3"/>
      <c r="G107" s="6"/>
      <c r="H107" s="18">
        <f>H106+IF(표1[[#This Row],[항]]="수입",표1[[#This Row],[수입/지출금액]],(-1*표1[[#This Row],[수입/지출금액]]))</f>
        <v>840</v>
      </c>
      <c r="I107" s="3"/>
      <c r="J107" s="5"/>
      <c r="K107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08" spans="1:11" ht="19.95" customHeight="1">
      <c r="A108" s="3">
        <v>102</v>
      </c>
      <c r="B108" s="3"/>
      <c r="C108" s="3"/>
      <c r="D108" s="4"/>
      <c r="E108" s="14"/>
      <c r="F108" s="3"/>
      <c r="G108" s="6"/>
      <c r="H108" s="18">
        <f>H107+IF(표1[[#This Row],[항]]="수입",표1[[#This Row],[수입/지출금액]],(-1*표1[[#This Row],[수입/지출금액]]))</f>
        <v>840</v>
      </c>
      <c r="I108" s="3"/>
      <c r="J108" s="5"/>
      <c r="K108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09" spans="1:11" ht="19.95" customHeight="1">
      <c r="A109" s="3">
        <v>103</v>
      </c>
      <c r="B109" s="3"/>
      <c r="C109" s="3"/>
      <c r="D109" s="4"/>
      <c r="E109" s="14"/>
      <c r="F109" s="3"/>
      <c r="G109" s="6"/>
      <c r="H109" s="18">
        <f>H108+IF(표1[[#This Row],[항]]="수입",표1[[#This Row],[수입/지출금액]],(-1*표1[[#This Row],[수입/지출금액]]))</f>
        <v>840</v>
      </c>
      <c r="I109" s="3"/>
      <c r="J109" s="5"/>
      <c r="K109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10" spans="1:11" ht="19.95" customHeight="1">
      <c r="A110" s="3">
        <v>104</v>
      </c>
      <c r="B110" s="3"/>
      <c r="C110" s="3"/>
      <c r="D110" s="4"/>
      <c r="E110" s="14"/>
      <c r="F110" s="3"/>
      <c r="G110" s="6"/>
      <c r="H110" s="18">
        <f>H109+IF(표1[[#This Row],[항]]="수입",표1[[#This Row],[수입/지출금액]],(-1*표1[[#This Row],[수입/지출금액]]))</f>
        <v>840</v>
      </c>
      <c r="I110" s="3"/>
      <c r="J110" s="5"/>
      <c r="K110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11" spans="1:11" ht="19.95" customHeight="1">
      <c r="A111" s="3">
        <v>105</v>
      </c>
      <c r="B111" s="3"/>
      <c r="C111" s="3"/>
      <c r="D111" s="4"/>
      <c r="E111" s="14"/>
      <c r="F111" s="3"/>
      <c r="G111" s="6"/>
      <c r="H111" s="18">
        <f>H110+IF(표1[[#This Row],[항]]="수입",표1[[#This Row],[수입/지출금액]],(-1*표1[[#This Row],[수입/지출금액]]))</f>
        <v>840</v>
      </c>
      <c r="I111" s="3"/>
      <c r="J111" s="5"/>
      <c r="K111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12" spans="1:11" ht="19.95" customHeight="1">
      <c r="A112" s="3">
        <v>106</v>
      </c>
      <c r="B112" s="3"/>
      <c r="C112" s="3"/>
      <c r="D112" s="4"/>
      <c r="E112" s="14"/>
      <c r="F112" s="3"/>
      <c r="G112" s="6"/>
      <c r="H112" s="18">
        <f>H111+IF(표1[[#This Row],[항]]="수입",표1[[#This Row],[수입/지출금액]],(-1*표1[[#This Row],[수입/지출금액]]))</f>
        <v>840</v>
      </c>
      <c r="I112" s="3"/>
      <c r="J112" s="5"/>
      <c r="K112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13" spans="1:11" ht="19.95" customHeight="1">
      <c r="A113" s="3">
        <v>107</v>
      </c>
      <c r="B113" s="3"/>
      <c r="C113" s="3"/>
      <c r="D113" s="4"/>
      <c r="E113" s="14"/>
      <c r="F113" s="3"/>
      <c r="G113" s="6"/>
      <c r="H113" s="18">
        <f>H112+IF(표1[[#This Row],[항]]="수입",표1[[#This Row],[수입/지출금액]],(-1*표1[[#This Row],[수입/지출금액]]))</f>
        <v>840</v>
      </c>
      <c r="I113" s="3"/>
      <c r="J113" s="5"/>
      <c r="K113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14" spans="1:11" ht="19.95" customHeight="1">
      <c r="A114" s="3">
        <v>108</v>
      </c>
      <c r="B114" s="3"/>
      <c r="C114" s="3"/>
      <c r="D114" s="4"/>
      <c r="E114" s="14"/>
      <c r="F114" s="3"/>
      <c r="G114" s="6"/>
      <c r="H114" s="18">
        <f>H113+IF(표1[[#This Row],[항]]="수입",표1[[#This Row],[수입/지출금액]],(-1*표1[[#This Row],[수입/지출금액]]))</f>
        <v>840</v>
      </c>
      <c r="I114" s="3"/>
      <c r="J114" s="5"/>
      <c r="K114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15" spans="1:11" ht="19.95" customHeight="1">
      <c r="A115" s="3">
        <v>109</v>
      </c>
      <c r="B115" s="3"/>
      <c r="C115" s="3"/>
      <c r="D115" s="4"/>
      <c r="E115" s="14"/>
      <c r="F115" s="3"/>
      <c r="G115" s="6"/>
      <c r="H115" s="18">
        <f>H114+IF(표1[[#This Row],[항]]="수입",표1[[#This Row],[수입/지출금액]],(-1*표1[[#This Row],[수입/지출금액]]))</f>
        <v>840</v>
      </c>
      <c r="I115" s="3"/>
      <c r="J115" s="5"/>
      <c r="K115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16" spans="1:11" ht="19.95" customHeight="1">
      <c r="A116" s="3">
        <v>110</v>
      </c>
      <c r="B116" s="3"/>
      <c r="C116" s="3"/>
      <c r="D116" s="4"/>
      <c r="E116" s="14"/>
      <c r="F116" s="3"/>
      <c r="G116" s="6"/>
      <c r="H116" s="18">
        <f>H115+IF(표1[[#This Row],[항]]="수입",표1[[#This Row],[수입/지출금액]],(-1*표1[[#This Row],[수입/지출금액]]))</f>
        <v>840</v>
      </c>
      <c r="I116" s="3"/>
      <c r="J116" s="5"/>
      <c r="K116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17" spans="1:11" ht="19.95" customHeight="1">
      <c r="A117" s="3">
        <v>111</v>
      </c>
      <c r="B117" s="3"/>
      <c r="C117" s="3"/>
      <c r="D117" s="4"/>
      <c r="E117" s="14"/>
      <c r="F117" s="3"/>
      <c r="G117" s="6"/>
      <c r="H117" s="18">
        <f>H116+IF(표1[[#This Row],[항]]="수입",표1[[#This Row],[수입/지출금액]],(-1*표1[[#This Row],[수입/지출금액]]))</f>
        <v>840</v>
      </c>
      <c r="I117" s="3"/>
      <c r="J117" s="5"/>
      <c r="K117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18" spans="1:11" ht="19.95" customHeight="1">
      <c r="A118" s="3">
        <v>112</v>
      </c>
      <c r="B118" s="3"/>
      <c r="C118" s="3"/>
      <c r="D118" s="4"/>
      <c r="E118" s="14"/>
      <c r="F118" s="3"/>
      <c r="G118" s="6"/>
      <c r="H118" s="18">
        <f>H117+IF(표1[[#This Row],[항]]="수입",표1[[#This Row],[수입/지출금액]],(-1*표1[[#This Row],[수입/지출금액]]))</f>
        <v>840</v>
      </c>
      <c r="I118" s="3"/>
      <c r="J118" s="5"/>
      <c r="K118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19" spans="1:11" ht="19.95" customHeight="1">
      <c r="A119" s="3">
        <v>113</v>
      </c>
      <c r="B119" s="3"/>
      <c r="C119" s="3"/>
      <c r="D119" s="4"/>
      <c r="E119" s="14"/>
      <c r="F119" s="3"/>
      <c r="G119" s="6"/>
      <c r="H119" s="18">
        <f>H118+IF(표1[[#This Row],[항]]="수입",표1[[#This Row],[수입/지출금액]],(-1*표1[[#This Row],[수입/지출금액]]))</f>
        <v>840</v>
      </c>
      <c r="I119" s="3"/>
      <c r="J119" s="5"/>
      <c r="K119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20" spans="1:11" ht="19.95" customHeight="1">
      <c r="A120" s="3">
        <v>114</v>
      </c>
      <c r="B120" s="3"/>
      <c r="C120" s="3"/>
      <c r="D120" s="4"/>
      <c r="E120" s="14"/>
      <c r="F120" s="3"/>
      <c r="G120" s="6"/>
      <c r="H120" s="18">
        <f>H119+IF(표1[[#This Row],[항]]="수입",표1[[#This Row],[수입/지출금액]],(-1*표1[[#This Row],[수입/지출금액]]))</f>
        <v>840</v>
      </c>
      <c r="I120" s="3"/>
      <c r="J120" s="5"/>
      <c r="K120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21" spans="1:11" ht="19.95" customHeight="1">
      <c r="A121" s="3">
        <v>115</v>
      </c>
      <c r="B121" s="3"/>
      <c r="C121" s="3"/>
      <c r="D121" s="4"/>
      <c r="E121" s="14"/>
      <c r="F121" s="3"/>
      <c r="G121" s="6"/>
      <c r="H121" s="18">
        <f>H120+IF(표1[[#This Row],[항]]="수입",표1[[#This Row],[수입/지출금액]],(-1*표1[[#This Row],[수입/지출금액]]))</f>
        <v>840</v>
      </c>
      <c r="I121" s="3"/>
      <c r="J121" s="5"/>
      <c r="K121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22" spans="1:11" ht="19.95" customHeight="1">
      <c r="A122" s="3">
        <v>116</v>
      </c>
      <c r="B122" s="3"/>
      <c r="C122" s="3"/>
      <c r="D122" s="4"/>
      <c r="E122" s="14"/>
      <c r="F122" s="3"/>
      <c r="G122" s="6"/>
      <c r="H122" s="18">
        <f>H121+IF(표1[[#This Row],[항]]="수입",표1[[#This Row],[수입/지출금액]],(-1*표1[[#This Row],[수입/지출금액]]))</f>
        <v>840</v>
      </c>
      <c r="I122" s="3"/>
      <c r="J122" s="5"/>
      <c r="K122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23" spans="1:11" ht="19.95" customHeight="1">
      <c r="A123" s="3">
        <v>117</v>
      </c>
      <c r="B123" s="3"/>
      <c r="C123" s="3"/>
      <c r="D123" s="4"/>
      <c r="E123" s="14"/>
      <c r="F123" s="3"/>
      <c r="G123" s="6"/>
      <c r="H123" s="18">
        <f>H122+IF(표1[[#This Row],[항]]="수입",표1[[#This Row],[수입/지출금액]],(-1*표1[[#This Row],[수입/지출금액]]))</f>
        <v>840</v>
      </c>
      <c r="I123" s="3"/>
      <c r="J123" s="5"/>
      <c r="K123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24" spans="1:11" ht="19.95" customHeight="1">
      <c r="A124" s="3">
        <v>118</v>
      </c>
      <c r="B124" s="3"/>
      <c r="C124" s="3"/>
      <c r="D124" s="4"/>
      <c r="E124" s="14"/>
      <c r="F124" s="3"/>
      <c r="G124" s="6"/>
      <c r="H124" s="18">
        <f>H123+IF(표1[[#This Row],[항]]="수입",표1[[#This Row],[수입/지출금액]],(-1*표1[[#This Row],[수입/지출금액]]))</f>
        <v>840</v>
      </c>
      <c r="I124" s="3"/>
      <c r="J124" s="5"/>
      <c r="K124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25" spans="1:11" ht="19.95" customHeight="1">
      <c r="A125" s="3">
        <v>119</v>
      </c>
      <c r="B125" s="3"/>
      <c r="C125" s="3"/>
      <c r="D125" s="4"/>
      <c r="E125" s="14"/>
      <c r="F125" s="3"/>
      <c r="G125" s="6"/>
      <c r="H125" s="18">
        <f>H124+IF(표1[[#This Row],[항]]="수입",표1[[#This Row],[수입/지출금액]],(-1*표1[[#This Row],[수입/지출금액]]))</f>
        <v>840</v>
      </c>
      <c r="I125" s="3"/>
      <c r="J125" s="5"/>
      <c r="K125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26" spans="1:11" ht="19.95" customHeight="1">
      <c r="A126" s="3">
        <v>120</v>
      </c>
      <c r="B126" s="3"/>
      <c r="C126" s="3"/>
      <c r="D126" s="4"/>
      <c r="E126" s="14"/>
      <c r="F126" s="3"/>
      <c r="G126" s="6"/>
      <c r="H126" s="18">
        <f>H125+IF(표1[[#This Row],[항]]="수입",표1[[#This Row],[수입/지출금액]],(-1*표1[[#This Row],[수입/지출금액]]))</f>
        <v>840</v>
      </c>
      <c r="I126" s="3"/>
      <c r="J126" s="5"/>
      <c r="K126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27" spans="1:11" ht="19.95" customHeight="1">
      <c r="A127" s="3">
        <v>121</v>
      </c>
      <c r="B127" s="3"/>
      <c r="C127" s="3"/>
      <c r="D127" s="4"/>
      <c r="E127" s="14"/>
      <c r="F127" s="3"/>
      <c r="G127" s="6"/>
      <c r="H127" s="18">
        <f>H126+IF(표1[[#This Row],[항]]="수입",표1[[#This Row],[수입/지출금액]],(-1*표1[[#This Row],[수입/지출금액]]))</f>
        <v>840</v>
      </c>
      <c r="I127" s="3"/>
      <c r="J127" s="5"/>
      <c r="K127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28" spans="1:11" ht="19.95" customHeight="1">
      <c r="A128" s="3">
        <v>122</v>
      </c>
      <c r="B128" s="3"/>
      <c r="C128" s="3"/>
      <c r="D128" s="4"/>
      <c r="E128" s="14"/>
      <c r="F128" s="3"/>
      <c r="G128" s="6"/>
      <c r="H128" s="18">
        <f>H127+IF(표1[[#This Row],[항]]="수입",표1[[#This Row],[수입/지출금액]],(-1*표1[[#This Row],[수입/지출금액]]))</f>
        <v>840</v>
      </c>
      <c r="I128" s="3"/>
      <c r="J128" s="5"/>
      <c r="K128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29" spans="1:11" ht="19.95" customHeight="1">
      <c r="A129" s="3">
        <v>123</v>
      </c>
      <c r="B129" s="3"/>
      <c r="C129" s="3"/>
      <c r="D129" s="4"/>
      <c r="E129" s="14"/>
      <c r="F129" s="3"/>
      <c r="G129" s="6"/>
      <c r="H129" s="18">
        <f>H128+IF(표1[[#This Row],[항]]="수입",표1[[#This Row],[수입/지출금액]],(-1*표1[[#This Row],[수입/지출금액]]))</f>
        <v>840</v>
      </c>
      <c r="I129" s="3"/>
      <c r="J129" s="5"/>
      <c r="K129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30" spans="1:11" ht="19.95" customHeight="1">
      <c r="A130" s="3">
        <v>124</v>
      </c>
      <c r="B130" s="3"/>
      <c r="C130" s="3"/>
      <c r="D130" s="4"/>
      <c r="E130" s="14"/>
      <c r="F130" s="3"/>
      <c r="G130" s="6"/>
      <c r="H130" s="18">
        <f>H129+IF(표1[[#This Row],[항]]="수입",표1[[#This Row],[수입/지출금액]],(-1*표1[[#This Row],[수입/지출금액]]))</f>
        <v>840</v>
      </c>
      <c r="I130" s="3"/>
      <c r="J130" s="5"/>
      <c r="K130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31" spans="1:11" ht="19.95" customHeight="1">
      <c r="A131" s="3">
        <v>125</v>
      </c>
      <c r="B131" s="3"/>
      <c r="C131" s="3"/>
      <c r="D131" s="4"/>
      <c r="E131" s="14"/>
      <c r="F131" s="3"/>
      <c r="G131" s="6"/>
      <c r="H131" s="18">
        <f>H130+IF(표1[[#This Row],[항]]="수입",표1[[#This Row],[수입/지출금액]],(-1*표1[[#This Row],[수입/지출금액]]))</f>
        <v>840</v>
      </c>
      <c r="I131" s="3"/>
      <c r="J131" s="5"/>
      <c r="K131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32" spans="1:11" ht="19.95" customHeight="1">
      <c r="A132" s="3">
        <v>126</v>
      </c>
      <c r="B132" s="3"/>
      <c r="C132" s="3"/>
      <c r="D132" s="4"/>
      <c r="E132" s="14"/>
      <c r="F132" s="3"/>
      <c r="G132" s="6"/>
      <c r="H132" s="18">
        <f>H131+IF(표1[[#This Row],[항]]="수입",표1[[#This Row],[수입/지출금액]],(-1*표1[[#This Row],[수입/지출금액]]))</f>
        <v>840</v>
      </c>
      <c r="I132" s="3"/>
      <c r="J132" s="5"/>
      <c r="K132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33" spans="1:11" ht="19.95" customHeight="1">
      <c r="A133" s="3">
        <v>127</v>
      </c>
      <c r="B133" s="3"/>
      <c r="C133" s="3"/>
      <c r="D133" s="4"/>
      <c r="E133" s="14"/>
      <c r="F133" s="3"/>
      <c r="G133" s="6"/>
      <c r="H133" s="18">
        <f>H132+IF(표1[[#This Row],[항]]="수입",표1[[#This Row],[수입/지출금액]],(-1*표1[[#This Row],[수입/지출금액]]))</f>
        <v>840</v>
      </c>
      <c r="I133" s="3"/>
      <c r="J133" s="5"/>
      <c r="K133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34" spans="1:11" ht="19.95" customHeight="1">
      <c r="A134" s="3">
        <v>128</v>
      </c>
      <c r="B134" s="3"/>
      <c r="C134" s="3"/>
      <c r="D134" s="4"/>
      <c r="E134" s="14"/>
      <c r="F134" s="3"/>
      <c r="G134" s="6"/>
      <c r="H134" s="18">
        <f>H133+IF(표1[[#This Row],[항]]="수입",표1[[#This Row],[수입/지출금액]],(-1*표1[[#This Row],[수입/지출금액]]))</f>
        <v>840</v>
      </c>
      <c r="I134" s="3"/>
      <c r="J134" s="5"/>
      <c r="K134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35" spans="1:11" ht="19.95" customHeight="1">
      <c r="A135" s="3">
        <v>129</v>
      </c>
      <c r="B135" s="3"/>
      <c r="C135" s="3"/>
      <c r="D135" s="4"/>
      <c r="E135" s="14"/>
      <c r="F135" s="3"/>
      <c r="G135" s="6"/>
      <c r="H135" s="18">
        <f>H134+IF(표1[[#This Row],[항]]="수입",표1[[#This Row],[수입/지출금액]],(-1*표1[[#This Row],[수입/지출금액]]))</f>
        <v>840</v>
      </c>
      <c r="I135" s="3"/>
      <c r="J135" s="5"/>
      <c r="K135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36" spans="1:11" ht="19.95" customHeight="1">
      <c r="A136" s="3">
        <v>130</v>
      </c>
      <c r="B136" s="3"/>
      <c r="C136" s="3"/>
      <c r="D136" s="4"/>
      <c r="E136" s="14"/>
      <c r="F136" s="3"/>
      <c r="G136" s="6"/>
      <c r="H136" s="18">
        <f>H135+IF(표1[[#This Row],[항]]="수입",표1[[#This Row],[수입/지출금액]],(-1*표1[[#This Row],[수입/지출금액]]))</f>
        <v>840</v>
      </c>
      <c r="I136" s="3"/>
      <c r="J136" s="5"/>
      <c r="K136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37" spans="1:11" ht="19.95" customHeight="1">
      <c r="A137" s="3">
        <v>131</v>
      </c>
      <c r="B137" s="3"/>
      <c r="C137" s="3"/>
      <c r="D137" s="4"/>
      <c r="E137" s="14"/>
      <c r="F137" s="3"/>
      <c r="G137" s="6"/>
      <c r="H137" s="18">
        <f>H136+IF(표1[[#This Row],[항]]="수입",표1[[#This Row],[수입/지출금액]],(-1*표1[[#This Row],[수입/지출금액]]))</f>
        <v>840</v>
      </c>
      <c r="I137" s="3"/>
      <c r="J137" s="5"/>
      <c r="K137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38" spans="1:11" ht="19.95" customHeight="1">
      <c r="A138" s="3">
        <v>132</v>
      </c>
      <c r="B138" s="3"/>
      <c r="C138" s="3"/>
      <c r="D138" s="4"/>
      <c r="E138" s="14"/>
      <c r="F138" s="3"/>
      <c r="G138" s="6"/>
      <c r="H138" s="18">
        <f>H137+IF(표1[[#This Row],[항]]="수입",표1[[#This Row],[수입/지출금액]],(-1*표1[[#This Row],[수입/지출금액]]))</f>
        <v>840</v>
      </c>
      <c r="I138" s="3"/>
      <c r="J138" s="5"/>
      <c r="K138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39" spans="1:11" ht="19.95" customHeight="1">
      <c r="A139" s="3">
        <v>133</v>
      </c>
      <c r="B139" s="3"/>
      <c r="C139" s="3"/>
      <c r="D139" s="4"/>
      <c r="E139" s="14"/>
      <c r="F139" s="3"/>
      <c r="G139" s="6"/>
      <c r="H139" s="18">
        <f>H138+IF(표1[[#This Row],[항]]="수입",표1[[#This Row],[수입/지출금액]],(-1*표1[[#This Row],[수입/지출금액]]))</f>
        <v>840</v>
      </c>
      <c r="I139" s="3"/>
      <c r="J139" s="5"/>
      <c r="K139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40" spans="1:11" ht="19.95" customHeight="1">
      <c r="A140" s="3">
        <v>134</v>
      </c>
      <c r="B140" s="3"/>
      <c r="C140" s="3"/>
      <c r="D140" s="4"/>
      <c r="E140" s="14"/>
      <c r="F140" s="3"/>
      <c r="G140" s="6"/>
      <c r="H140" s="18">
        <f>H139+IF(표1[[#This Row],[항]]="수입",표1[[#This Row],[수입/지출금액]],(-1*표1[[#This Row],[수입/지출금액]]))</f>
        <v>840</v>
      </c>
      <c r="I140" s="3"/>
      <c r="J140" s="5"/>
      <c r="K140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41" spans="1:11" ht="19.95" customHeight="1">
      <c r="A141" s="3">
        <v>135</v>
      </c>
      <c r="B141" s="3"/>
      <c r="C141" s="3"/>
      <c r="D141" s="4"/>
      <c r="E141" s="14"/>
      <c r="F141" s="3"/>
      <c r="G141" s="6"/>
      <c r="H141" s="18">
        <f>H140+IF(표1[[#This Row],[항]]="수입",표1[[#This Row],[수입/지출금액]],(-1*표1[[#This Row],[수입/지출금액]]))</f>
        <v>840</v>
      </c>
      <c r="I141" s="3"/>
      <c r="J141" s="5"/>
      <c r="K141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42" spans="1:11" ht="19.95" customHeight="1">
      <c r="A142" s="3">
        <v>136</v>
      </c>
      <c r="B142" s="3"/>
      <c r="C142" s="3"/>
      <c r="D142" s="4"/>
      <c r="E142" s="14"/>
      <c r="F142" s="3"/>
      <c r="G142" s="6"/>
      <c r="H142" s="18">
        <f>H141+IF(표1[[#This Row],[항]]="수입",표1[[#This Row],[수입/지출금액]],(-1*표1[[#This Row],[수입/지출금액]]))</f>
        <v>840</v>
      </c>
      <c r="I142" s="3"/>
      <c r="J142" s="5"/>
      <c r="K142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43" spans="1:11" ht="19.95" customHeight="1">
      <c r="A143" s="3">
        <v>137</v>
      </c>
      <c r="B143" s="3"/>
      <c r="C143" s="3"/>
      <c r="D143" s="4"/>
      <c r="E143" s="14"/>
      <c r="F143" s="3"/>
      <c r="G143" s="6"/>
      <c r="H143" s="18">
        <f>H142+IF(표1[[#This Row],[항]]="수입",표1[[#This Row],[수입/지출금액]],(-1*표1[[#This Row],[수입/지출금액]]))</f>
        <v>840</v>
      </c>
      <c r="I143" s="3"/>
      <c r="J143" s="5"/>
      <c r="K143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44" spans="1:11" ht="19.95" customHeight="1">
      <c r="A144" s="3">
        <v>138</v>
      </c>
      <c r="B144" s="3"/>
      <c r="C144" s="3"/>
      <c r="D144" s="4"/>
      <c r="E144" s="14"/>
      <c r="F144" s="3"/>
      <c r="G144" s="6"/>
      <c r="H144" s="18">
        <f>H143+IF(표1[[#This Row],[항]]="수입",표1[[#This Row],[수입/지출금액]],(-1*표1[[#This Row],[수입/지출금액]]))</f>
        <v>840</v>
      </c>
      <c r="I144" s="3"/>
      <c r="J144" s="5"/>
      <c r="K144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45" spans="1:11" ht="19.95" customHeight="1">
      <c r="A145" s="3">
        <v>139</v>
      </c>
      <c r="B145" s="3"/>
      <c r="C145" s="3"/>
      <c r="D145" s="4"/>
      <c r="E145" s="14"/>
      <c r="F145" s="3"/>
      <c r="G145" s="6"/>
      <c r="H145" s="18">
        <f>H144+IF(표1[[#This Row],[항]]="수입",표1[[#This Row],[수입/지출금액]],(-1*표1[[#This Row],[수입/지출금액]]))</f>
        <v>840</v>
      </c>
      <c r="I145" s="3"/>
      <c r="J145" s="5"/>
      <c r="K145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46" spans="1:11" ht="19.95" customHeight="1">
      <c r="A146" s="3">
        <v>140</v>
      </c>
      <c r="B146" s="3"/>
      <c r="C146" s="3"/>
      <c r="D146" s="4"/>
      <c r="E146" s="14"/>
      <c r="F146" s="3"/>
      <c r="G146" s="6"/>
      <c r="H146" s="18">
        <f>H145+IF(표1[[#This Row],[항]]="수입",표1[[#This Row],[수입/지출금액]],(-1*표1[[#This Row],[수입/지출금액]]))</f>
        <v>840</v>
      </c>
      <c r="I146" s="3"/>
      <c r="J146" s="5"/>
      <c r="K146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47" spans="1:11" ht="19.95" customHeight="1">
      <c r="A147" s="3">
        <v>141</v>
      </c>
      <c r="B147" s="3"/>
      <c r="C147" s="3"/>
      <c r="D147" s="4"/>
      <c r="E147" s="14"/>
      <c r="F147" s="3"/>
      <c r="G147" s="6"/>
      <c r="H147" s="18">
        <f>H146+IF(표1[[#This Row],[항]]="수입",표1[[#This Row],[수입/지출금액]],(-1*표1[[#This Row],[수입/지출금액]]))</f>
        <v>840</v>
      </c>
      <c r="I147" s="3"/>
      <c r="J147" s="5"/>
      <c r="K147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48" spans="1:11" ht="19.95" customHeight="1">
      <c r="A148" s="3">
        <v>142</v>
      </c>
      <c r="B148" s="3"/>
      <c r="C148" s="3"/>
      <c r="D148" s="4"/>
      <c r="E148" s="14"/>
      <c r="F148" s="3"/>
      <c r="G148" s="6"/>
      <c r="H148" s="18">
        <f>H147+IF(표1[[#This Row],[항]]="수입",표1[[#This Row],[수입/지출금액]],(-1*표1[[#This Row],[수입/지출금액]]))</f>
        <v>840</v>
      </c>
      <c r="I148" s="3"/>
      <c r="J148" s="5"/>
      <c r="K148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49" spans="1:11" ht="19.95" customHeight="1">
      <c r="A149" s="3">
        <v>143</v>
      </c>
      <c r="B149" s="3"/>
      <c r="C149" s="3"/>
      <c r="D149" s="4"/>
      <c r="E149" s="14"/>
      <c r="F149" s="3"/>
      <c r="G149" s="6"/>
      <c r="H149" s="18">
        <f>H148+IF(표1[[#This Row],[항]]="수입",표1[[#This Row],[수입/지출금액]],(-1*표1[[#This Row],[수입/지출금액]]))</f>
        <v>840</v>
      </c>
      <c r="I149" s="3"/>
      <c r="J149" s="5"/>
      <c r="K149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50" spans="1:11" ht="19.95" customHeight="1">
      <c r="A150" s="3">
        <v>144</v>
      </c>
      <c r="B150" s="3"/>
      <c r="C150" s="3"/>
      <c r="D150" s="4"/>
      <c r="E150" s="14"/>
      <c r="F150" s="3"/>
      <c r="G150" s="6"/>
      <c r="H150" s="18">
        <f>H149+IF(표1[[#This Row],[항]]="수입",표1[[#This Row],[수입/지출금액]],(-1*표1[[#This Row],[수입/지출금액]]))</f>
        <v>840</v>
      </c>
      <c r="I150" s="3"/>
      <c r="J150" s="5"/>
      <c r="K150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51" spans="1:11" ht="19.95" customHeight="1">
      <c r="A151" s="3">
        <v>145</v>
      </c>
      <c r="B151" s="3"/>
      <c r="C151" s="3"/>
      <c r="D151" s="4"/>
      <c r="E151" s="14"/>
      <c r="F151" s="3"/>
      <c r="G151" s="6"/>
      <c r="H151" s="18">
        <f>H150+IF(표1[[#This Row],[항]]="수입",표1[[#This Row],[수입/지출금액]],(-1*표1[[#This Row],[수입/지출금액]]))</f>
        <v>840</v>
      </c>
      <c r="I151" s="3"/>
      <c r="J151" s="5"/>
      <c r="K151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52" spans="1:11" ht="19.95" customHeight="1">
      <c r="A152" s="3">
        <v>146</v>
      </c>
      <c r="B152" s="3"/>
      <c r="C152" s="3"/>
      <c r="D152" s="4"/>
      <c r="E152" s="14"/>
      <c r="F152" s="3"/>
      <c r="G152" s="6"/>
      <c r="H152" s="18">
        <f>H151+IF(표1[[#This Row],[항]]="수입",표1[[#This Row],[수입/지출금액]],(-1*표1[[#This Row],[수입/지출금액]]))</f>
        <v>840</v>
      </c>
      <c r="I152" s="3"/>
      <c r="J152" s="5"/>
      <c r="K152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53" spans="1:11" ht="19.95" customHeight="1">
      <c r="A153" s="3">
        <v>147</v>
      </c>
      <c r="B153" s="3"/>
      <c r="C153" s="3"/>
      <c r="D153" s="4"/>
      <c r="E153" s="14"/>
      <c r="F153" s="3"/>
      <c r="G153" s="6"/>
      <c r="H153" s="18">
        <f>H152+IF(표1[[#This Row],[항]]="수입",표1[[#This Row],[수입/지출금액]],(-1*표1[[#This Row],[수입/지출금액]]))</f>
        <v>840</v>
      </c>
      <c r="I153" s="3"/>
      <c r="J153" s="5"/>
      <c r="K153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54" spans="1:11" ht="19.95" customHeight="1">
      <c r="A154" s="3">
        <v>148</v>
      </c>
      <c r="B154" s="3"/>
      <c r="C154" s="3"/>
      <c r="D154" s="4"/>
      <c r="E154" s="14"/>
      <c r="F154" s="3"/>
      <c r="G154" s="6"/>
      <c r="H154" s="18">
        <f>H153+IF(표1[[#This Row],[항]]="수입",표1[[#This Row],[수입/지출금액]],(-1*표1[[#This Row],[수입/지출금액]]))</f>
        <v>840</v>
      </c>
      <c r="I154" s="3"/>
      <c r="J154" s="5"/>
      <c r="K154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55" spans="1:11" ht="19.95" customHeight="1">
      <c r="A155" s="3">
        <v>149</v>
      </c>
      <c r="B155" s="3"/>
      <c r="C155" s="3"/>
      <c r="D155" s="4"/>
      <c r="E155" s="14"/>
      <c r="F155" s="3"/>
      <c r="G155" s="6"/>
      <c r="H155" s="18">
        <f>H154+IF(표1[[#This Row],[항]]="수입",표1[[#This Row],[수입/지출금액]],(-1*표1[[#This Row],[수입/지출금액]]))</f>
        <v>840</v>
      </c>
      <c r="I155" s="3"/>
      <c r="J155" s="5"/>
      <c r="K155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56" spans="1:11" ht="19.95" customHeight="1">
      <c r="A156" s="3">
        <v>150</v>
      </c>
      <c r="B156" s="3"/>
      <c r="C156" s="3"/>
      <c r="D156" s="4"/>
      <c r="E156" s="14"/>
      <c r="F156" s="3"/>
      <c r="G156" s="6"/>
      <c r="H156" s="18">
        <f>H155+IF(표1[[#This Row],[항]]="수입",표1[[#This Row],[수입/지출금액]],(-1*표1[[#This Row],[수입/지출금액]]))</f>
        <v>840</v>
      </c>
      <c r="I156" s="3"/>
      <c r="J156" s="5"/>
      <c r="K156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57" spans="1:11" ht="19.95" customHeight="1">
      <c r="A157" s="3">
        <v>151</v>
      </c>
      <c r="B157" s="3"/>
      <c r="C157" s="3"/>
      <c r="D157" s="4"/>
      <c r="E157" s="14"/>
      <c r="F157" s="3"/>
      <c r="G157" s="6"/>
      <c r="H157" s="18">
        <f>H156+IF(표1[[#This Row],[항]]="수입",표1[[#This Row],[수입/지출금액]],(-1*표1[[#This Row],[수입/지출금액]]))</f>
        <v>840</v>
      </c>
      <c r="I157" s="3"/>
      <c r="J157" s="5"/>
      <c r="K157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58" spans="1:11" ht="19.95" customHeight="1">
      <c r="A158" s="3">
        <v>152</v>
      </c>
      <c r="B158" s="3"/>
      <c r="C158" s="3"/>
      <c r="D158" s="4"/>
      <c r="E158" s="14"/>
      <c r="F158" s="3"/>
      <c r="G158" s="6"/>
      <c r="H158" s="18">
        <f>H157+IF(표1[[#This Row],[항]]="수입",표1[[#This Row],[수입/지출금액]],(-1*표1[[#This Row],[수입/지출금액]]))</f>
        <v>840</v>
      </c>
      <c r="I158" s="3"/>
      <c r="J158" s="5"/>
      <c r="K158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59" spans="1:11" ht="19.95" customHeight="1">
      <c r="A159" s="3">
        <v>153</v>
      </c>
      <c r="B159" s="3"/>
      <c r="C159" s="3"/>
      <c r="D159" s="4"/>
      <c r="E159" s="14"/>
      <c r="F159" s="3"/>
      <c r="G159" s="6"/>
      <c r="H159" s="18">
        <f>H158+IF(표1[[#This Row],[항]]="수입",표1[[#This Row],[수입/지출금액]],(-1*표1[[#This Row],[수입/지출금액]]))</f>
        <v>840</v>
      </c>
      <c r="I159" s="3"/>
      <c r="J159" s="5"/>
      <c r="K159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60" spans="1:11" ht="19.95" customHeight="1">
      <c r="A160" s="3">
        <v>154</v>
      </c>
      <c r="B160" s="3"/>
      <c r="C160" s="3"/>
      <c r="D160" s="4"/>
      <c r="E160" s="14"/>
      <c r="F160" s="3"/>
      <c r="G160" s="6"/>
      <c r="H160" s="18">
        <f>H159+IF(표1[[#This Row],[항]]="수입",표1[[#This Row],[수입/지출금액]],(-1*표1[[#This Row],[수입/지출금액]]))</f>
        <v>840</v>
      </c>
      <c r="I160" s="3"/>
      <c r="J160" s="5"/>
      <c r="K160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61" spans="1:11" ht="19.95" customHeight="1">
      <c r="A161" s="3">
        <v>155</v>
      </c>
      <c r="B161" s="3"/>
      <c r="C161" s="3"/>
      <c r="D161" s="4"/>
      <c r="E161" s="14"/>
      <c r="F161" s="3"/>
      <c r="G161" s="6"/>
      <c r="H161" s="18">
        <f>H160+IF(표1[[#This Row],[항]]="수입",표1[[#This Row],[수입/지출금액]],(-1*표1[[#This Row],[수입/지출금액]]))</f>
        <v>840</v>
      </c>
      <c r="I161" s="3"/>
      <c r="J161" s="5"/>
      <c r="K161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62" spans="1:11" ht="19.95" customHeight="1">
      <c r="A162" s="3">
        <v>156</v>
      </c>
      <c r="B162" s="3"/>
      <c r="C162" s="3"/>
      <c r="D162" s="4"/>
      <c r="E162" s="14"/>
      <c r="F162" s="3"/>
      <c r="G162" s="6"/>
      <c r="H162" s="18">
        <f>H161+IF(표1[[#This Row],[항]]="수입",표1[[#This Row],[수입/지출금액]],(-1*표1[[#This Row],[수입/지출금액]]))</f>
        <v>840</v>
      </c>
      <c r="I162" s="3"/>
      <c r="J162" s="5"/>
      <c r="K162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63" spans="1:11" ht="19.95" customHeight="1">
      <c r="A163" s="3">
        <v>157</v>
      </c>
      <c r="B163" s="3"/>
      <c r="C163" s="3"/>
      <c r="D163" s="4"/>
      <c r="E163" s="14"/>
      <c r="F163" s="3"/>
      <c r="G163" s="6"/>
      <c r="H163" s="18">
        <f>H162+IF(표1[[#This Row],[항]]="수입",표1[[#This Row],[수입/지출금액]],(-1*표1[[#This Row],[수입/지출금액]]))</f>
        <v>840</v>
      </c>
      <c r="I163" s="3"/>
      <c r="J163" s="5"/>
      <c r="K163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64" spans="1:11" ht="19.95" customHeight="1">
      <c r="A164" s="3">
        <v>158</v>
      </c>
      <c r="B164" s="3"/>
      <c r="C164" s="3"/>
      <c r="D164" s="4"/>
      <c r="E164" s="14"/>
      <c r="F164" s="3"/>
      <c r="G164" s="6"/>
      <c r="H164" s="18">
        <f>H163+IF(표1[[#This Row],[항]]="수입",표1[[#This Row],[수입/지출금액]],(-1*표1[[#This Row],[수입/지출금액]]))</f>
        <v>840</v>
      </c>
      <c r="I164" s="3"/>
      <c r="J164" s="5"/>
      <c r="K164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65" spans="1:11" ht="19.95" customHeight="1">
      <c r="A165" s="3">
        <v>159</v>
      </c>
      <c r="B165" s="3"/>
      <c r="C165" s="3"/>
      <c r="D165" s="4"/>
      <c r="E165" s="14"/>
      <c r="F165" s="3"/>
      <c r="G165" s="6"/>
      <c r="H165" s="18">
        <f>H164+IF(표1[[#This Row],[항]]="수입",표1[[#This Row],[수입/지출금액]],(-1*표1[[#This Row],[수입/지출금액]]))</f>
        <v>840</v>
      </c>
      <c r="I165" s="3"/>
      <c r="J165" s="5"/>
      <c r="K165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66" spans="1:11" ht="19.95" customHeight="1">
      <c r="A166" s="3">
        <v>160</v>
      </c>
      <c r="B166" s="3"/>
      <c r="C166" s="3"/>
      <c r="D166" s="4"/>
      <c r="E166" s="14"/>
      <c r="F166" s="3"/>
      <c r="G166" s="6"/>
      <c r="H166" s="18">
        <f>H165+IF(표1[[#This Row],[항]]="수입",표1[[#This Row],[수입/지출금액]],(-1*표1[[#This Row],[수입/지출금액]]))</f>
        <v>840</v>
      </c>
      <c r="I166" s="3"/>
      <c r="J166" s="5"/>
      <c r="K166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67" spans="1:11" ht="19.95" customHeight="1">
      <c r="A167" s="3">
        <v>161</v>
      </c>
      <c r="B167" s="3"/>
      <c r="C167" s="3"/>
      <c r="D167" s="4"/>
      <c r="E167" s="14"/>
      <c r="F167" s="3"/>
      <c r="G167" s="6"/>
      <c r="H167" s="18">
        <f>H166+IF(표1[[#This Row],[항]]="수입",표1[[#This Row],[수입/지출금액]],(-1*표1[[#This Row],[수입/지출금액]]))</f>
        <v>840</v>
      </c>
      <c r="I167" s="3"/>
      <c r="J167" s="5"/>
      <c r="K167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68" spans="1:11" ht="19.95" customHeight="1">
      <c r="A168" s="3">
        <v>162</v>
      </c>
      <c r="B168" s="3"/>
      <c r="C168" s="3"/>
      <c r="D168" s="4"/>
      <c r="E168" s="14"/>
      <c r="F168" s="3"/>
      <c r="G168" s="6"/>
      <c r="H168" s="18">
        <f>H167+IF(표1[[#This Row],[항]]="수입",표1[[#This Row],[수입/지출금액]],(-1*표1[[#This Row],[수입/지출금액]]))</f>
        <v>840</v>
      </c>
      <c r="I168" s="3"/>
      <c r="J168" s="5"/>
      <c r="K168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69" spans="1:11" ht="19.95" customHeight="1">
      <c r="A169" s="3">
        <v>163</v>
      </c>
      <c r="B169" s="7"/>
      <c r="C169" s="7"/>
      <c r="D169" s="8"/>
      <c r="E169" s="39"/>
      <c r="F169" s="7"/>
      <c r="G169" s="9"/>
      <c r="H169" s="18">
        <f>H168+IF(표1[[#This Row],[항]]="수입",표1[[#This Row],[수입/지출금액]],(-1*표1[[#This Row],[수입/지출금액]]))</f>
        <v>840</v>
      </c>
      <c r="I169" s="7"/>
      <c r="J169" s="8"/>
      <c r="K169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70" spans="1:11" ht="19.95" customHeight="1">
      <c r="A170" s="7"/>
      <c r="B170" s="7"/>
      <c r="C170" s="7"/>
      <c r="D170" s="8"/>
      <c r="E170" s="39"/>
      <c r="F170" s="7"/>
      <c r="G170" s="8"/>
      <c r="I170" s="7"/>
      <c r="J170" s="8"/>
      <c r="K170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71" spans="1:11" ht="19.95" customHeight="1">
      <c r="A171" s="7"/>
      <c r="B171" s="7"/>
      <c r="C171" s="7"/>
      <c r="D171" s="8"/>
      <c r="E171" s="39"/>
      <c r="F171" s="7"/>
      <c r="G171" s="8"/>
      <c r="I171" s="7"/>
      <c r="J171" s="8"/>
      <c r="K171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72" spans="1:11" ht="19.95" customHeight="1">
      <c r="A172" s="7"/>
      <c r="B172" s="7"/>
      <c r="C172" s="7"/>
      <c r="D172" s="8"/>
      <c r="E172" s="39"/>
      <c r="F172" s="7"/>
      <c r="G172" s="8"/>
      <c r="I172" s="7"/>
      <c r="J172" s="8"/>
      <c r="K172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73" spans="1:11" ht="19.95" customHeight="1">
      <c r="A173" s="7"/>
      <c r="B173" s="7"/>
      <c r="C173" s="7"/>
      <c r="D173" s="8"/>
      <c r="E173" s="39"/>
      <c r="F173" s="7"/>
      <c r="G173" s="8"/>
      <c r="I173" s="7"/>
      <c r="J173" s="8"/>
      <c r="K173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74" spans="1:11" ht="19.95" customHeight="1">
      <c r="A174" s="7"/>
      <c r="B174" s="7"/>
      <c r="C174" s="7"/>
      <c r="D174" s="8"/>
      <c r="E174" s="39"/>
      <c r="F174" s="7"/>
      <c r="G174" s="8"/>
      <c r="I174" s="7"/>
      <c r="J174" s="8"/>
      <c r="K174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75" spans="1:11" ht="19.95" customHeight="1">
      <c r="A175" s="7"/>
      <c r="B175" s="7"/>
      <c r="C175" s="7"/>
      <c r="D175" s="8"/>
      <c r="E175" s="39"/>
      <c r="F175" s="7"/>
      <c r="G175" s="8"/>
      <c r="I175" s="7"/>
      <c r="J175" s="8"/>
      <c r="K175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76" spans="1:11" ht="19.95" customHeight="1">
      <c r="A176" s="7"/>
      <c r="B176" s="7"/>
      <c r="C176" s="7"/>
      <c r="D176" s="8"/>
      <c r="E176" s="39"/>
      <c r="F176" s="7"/>
      <c r="G176" s="8"/>
      <c r="I176" s="7"/>
      <c r="J176" s="8"/>
      <c r="K176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77" spans="1:11" ht="19.95" customHeight="1">
      <c r="A177" s="7"/>
      <c r="B177" s="7"/>
      <c r="C177" s="7"/>
      <c r="D177" s="8"/>
      <c r="E177" s="39"/>
      <c r="F177" s="7"/>
      <c r="G177" s="8"/>
      <c r="I177" s="7"/>
      <c r="J177" s="8"/>
      <c r="K177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78" spans="1:11" ht="19.95" customHeight="1">
      <c r="A178" s="7"/>
      <c r="B178" s="7"/>
      <c r="C178" s="7"/>
      <c r="D178" s="8"/>
      <c r="E178" s="39"/>
      <c r="F178" s="7"/>
      <c r="G178" s="8"/>
      <c r="I178" s="7"/>
      <c r="J178" s="8"/>
      <c r="K178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79" spans="1:11" ht="19.95" customHeight="1">
      <c r="A179" s="7"/>
      <c r="B179" s="7"/>
      <c r="C179" s="7"/>
      <c r="D179" s="8"/>
      <c r="E179" s="39"/>
      <c r="F179" s="7"/>
      <c r="G179" s="8"/>
      <c r="I179" s="7"/>
      <c r="J179" s="8"/>
      <c r="K179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80" spans="1:11" ht="19.95" customHeight="1">
      <c r="A180" s="7"/>
      <c r="B180" s="7"/>
      <c r="C180" s="7"/>
      <c r="D180" s="8"/>
      <c r="E180" s="39"/>
      <c r="F180" s="7"/>
      <c r="G180" s="8"/>
      <c r="I180" s="7"/>
      <c r="J180" s="8"/>
      <c r="K180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81" spans="1:11" ht="19.95" customHeight="1">
      <c r="A181" s="7"/>
      <c r="B181" s="7"/>
      <c r="C181" s="7"/>
      <c r="D181" s="8"/>
      <c r="E181" s="39"/>
      <c r="F181" s="7"/>
      <c r="G181" s="8"/>
      <c r="I181" s="7"/>
      <c r="J181" s="8"/>
      <c r="K181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82" spans="1:11" ht="19.95" customHeight="1">
      <c r="A182" s="7"/>
      <c r="B182" s="7"/>
      <c r="C182" s="7"/>
      <c r="D182" s="8"/>
      <c r="E182" s="39"/>
      <c r="F182" s="7"/>
      <c r="G182" s="8"/>
      <c r="I182" s="7"/>
      <c r="J182" s="8"/>
      <c r="K182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83" spans="1:11" ht="19.95" customHeight="1">
      <c r="A183" s="7"/>
      <c r="B183" s="7"/>
      <c r="C183" s="7"/>
      <c r="D183" s="8"/>
      <c r="E183" s="39"/>
      <c r="F183" s="7"/>
      <c r="G183" s="8"/>
      <c r="I183" s="7"/>
      <c r="J183" s="8"/>
      <c r="K183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84" spans="1:11" ht="12" customHeight="1">
      <c r="A184" s="7"/>
      <c r="B184" s="7"/>
      <c r="C184" s="7"/>
      <c r="D184" s="8"/>
      <c r="E184" s="39"/>
      <c r="F184" s="7"/>
      <c r="G184" s="8"/>
      <c r="I184" s="7"/>
      <c r="J184" s="8"/>
      <c r="K184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85" spans="1:11" ht="12" customHeight="1">
      <c r="A185" s="7"/>
      <c r="B185" s="7"/>
      <c r="C185" s="7"/>
      <c r="D185" s="8"/>
      <c r="E185" s="39"/>
      <c r="F185" s="7"/>
      <c r="G185" s="8"/>
      <c r="I185" s="7"/>
      <c r="J185" s="8"/>
      <c r="K185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86" spans="1:11" ht="12" customHeight="1">
      <c r="A186" s="7"/>
      <c r="B186" s="7"/>
      <c r="C186" s="7"/>
      <c r="D186" s="8"/>
      <c r="E186" s="8"/>
      <c r="F186" s="7"/>
      <c r="G186" s="8"/>
      <c r="I186" s="7"/>
      <c r="J186" s="8"/>
      <c r="K186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87" spans="1:11" ht="12" customHeight="1">
      <c r="A187" s="7"/>
      <c r="B187" s="7"/>
      <c r="C187" s="7"/>
      <c r="D187" s="8"/>
      <c r="E187" s="8"/>
      <c r="F187" s="7"/>
      <c r="G187" s="8"/>
      <c r="I187" s="7"/>
      <c r="J187" s="8"/>
      <c r="K187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88" spans="1:11" ht="12" customHeight="1">
      <c r="A188" s="7"/>
      <c r="B188" s="7"/>
      <c r="C188" s="7"/>
      <c r="D188" s="8"/>
      <c r="E188" s="8"/>
      <c r="F188" s="7"/>
      <c r="G188" s="8"/>
      <c r="I188" s="7"/>
      <c r="J188" s="8"/>
      <c r="K188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89" spans="1:11" ht="12" customHeight="1">
      <c r="A189" s="7"/>
      <c r="B189" s="7"/>
      <c r="C189" s="7"/>
      <c r="D189" s="8"/>
      <c r="E189" s="8"/>
      <c r="F189" s="7"/>
      <c r="G189" s="8"/>
      <c r="I189" s="7"/>
      <c r="J189" s="8"/>
      <c r="K189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90" spans="1:11" ht="12" customHeight="1">
      <c r="A190" s="7"/>
      <c r="B190" s="7"/>
      <c r="C190" s="7"/>
      <c r="D190" s="8"/>
      <c r="E190" s="8"/>
      <c r="F190" s="7"/>
      <c r="G190" s="8"/>
      <c r="I190" s="7"/>
      <c r="J190" s="8"/>
      <c r="K190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91" spans="1:11" ht="12" customHeight="1">
      <c r="A191" s="7"/>
      <c r="B191" s="7"/>
      <c r="C191" s="7"/>
      <c r="D191" s="8"/>
      <c r="E191" s="8"/>
      <c r="F191" s="7"/>
      <c r="G191" s="8"/>
      <c r="I191" s="7"/>
      <c r="J191" s="8"/>
      <c r="K191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92" spans="1:11" ht="12" customHeight="1">
      <c r="A192" s="7"/>
      <c r="B192" s="7"/>
      <c r="C192" s="7"/>
      <c r="D192" s="8"/>
      <c r="E192" s="8"/>
      <c r="F192" s="7"/>
      <c r="G192" s="8"/>
      <c r="I192" s="7"/>
      <c r="J192" s="8"/>
      <c r="K192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93" spans="1:11" ht="12" customHeight="1">
      <c r="A193" s="7"/>
      <c r="B193" s="7"/>
      <c r="C193" s="7"/>
      <c r="D193" s="8"/>
      <c r="E193" s="8"/>
      <c r="F193" s="7"/>
      <c r="G193" s="8"/>
      <c r="I193" s="7"/>
      <c r="J193" s="8"/>
      <c r="K193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94" spans="1:11" ht="12" customHeight="1">
      <c r="A194" s="7"/>
      <c r="B194" s="7"/>
      <c r="C194" s="7"/>
      <c r="D194" s="8"/>
      <c r="E194" s="8"/>
      <c r="F194" s="7"/>
      <c r="G194" s="8"/>
      <c r="I194" s="7"/>
      <c r="J194" s="8"/>
      <c r="K194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95" spans="1:11" ht="12" customHeight="1">
      <c r="A195" s="7"/>
      <c r="B195" s="7"/>
      <c r="C195" s="7"/>
      <c r="D195" s="8"/>
      <c r="E195" s="8"/>
      <c r="F195" s="7"/>
      <c r="G195" s="8"/>
      <c r="I195" s="7"/>
      <c r="J195" s="8"/>
      <c r="K195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96" spans="1:11" ht="12" customHeight="1">
      <c r="A196" s="7"/>
      <c r="B196" s="7"/>
      <c r="C196" s="7"/>
      <c r="D196" s="8"/>
      <c r="E196" s="8"/>
      <c r="F196" s="7"/>
      <c r="G196" s="8"/>
      <c r="I196" s="7"/>
      <c r="J196" s="8"/>
      <c r="K196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97" spans="1:11" ht="12" customHeight="1">
      <c r="A197" s="7"/>
      <c r="B197" s="7"/>
      <c r="C197" s="7"/>
      <c r="D197" s="8"/>
      <c r="E197" s="8"/>
      <c r="F197" s="7"/>
      <c r="G197" s="8"/>
      <c r="I197" s="7"/>
      <c r="J197" s="8"/>
      <c r="K197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98" spans="1:11" ht="12" customHeight="1">
      <c r="A198" s="7"/>
      <c r="B198" s="7"/>
      <c r="C198" s="7"/>
      <c r="D198" s="8"/>
      <c r="E198" s="8"/>
      <c r="F198" s="7"/>
      <c r="G198" s="8"/>
      <c r="I198" s="7"/>
      <c r="J198" s="8"/>
      <c r="K198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199" spans="1:11" ht="12" customHeight="1">
      <c r="A199" s="7"/>
      <c r="B199" s="7"/>
      <c r="C199" s="7"/>
      <c r="D199" s="8"/>
      <c r="E199" s="8"/>
      <c r="F199" s="7"/>
      <c r="G199" s="8"/>
      <c r="I199" s="7"/>
      <c r="J199" s="8"/>
      <c r="K199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00" spans="1:11" ht="12" customHeight="1">
      <c r="A200" s="7"/>
      <c r="B200" s="7"/>
      <c r="C200" s="7"/>
      <c r="D200" s="8"/>
      <c r="E200" s="8"/>
      <c r="F200" s="7"/>
      <c r="G200" s="8"/>
      <c r="I200" s="7"/>
      <c r="J200" s="8"/>
      <c r="K200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01" spans="1:11" ht="12" customHeight="1">
      <c r="A201" s="7"/>
      <c r="B201" s="7"/>
      <c r="C201" s="7"/>
      <c r="D201" s="8"/>
      <c r="E201" s="8"/>
      <c r="F201" s="7"/>
      <c r="G201" s="8"/>
      <c r="I201" s="7"/>
      <c r="J201" s="8"/>
      <c r="K201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02" spans="1:11" ht="12" customHeight="1">
      <c r="A202" s="7"/>
      <c r="B202" s="7"/>
      <c r="C202" s="7"/>
      <c r="D202" s="8"/>
      <c r="E202" s="8"/>
      <c r="F202" s="7"/>
      <c r="G202" s="8"/>
      <c r="I202" s="7"/>
      <c r="J202" s="8"/>
      <c r="K202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03" spans="1:11" ht="12" customHeight="1">
      <c r="A203" s="7"/>
      <c r="B203" s="7"/>
      <c r="C203" s="7"/>
      <c r="D203" s="8"/>
      <c r="E203" s="8"/>
      <c r="F203" s="7"/>
      <c r="G203" s="8"/>
      <c r="I203" s="7"/>
      <c r="J203" s="8"/>
      <c r="K203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04" spans="1:11" ht="12" customHeight="1">
      <c r="A204" s="7"/>
      <c r="B204" s="7"/>
      <c r="C204" s="7"/>
      <c r="D204" s="8"/>
      <c r="E204" s="8"/>
      <c r="F204" s="7"/>
      <c r="G204" s="8"/>
      <c r="I204" s="7"/>
      <c r="J204" s="8"/>
      <c r="K204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05" spans="1:11" ht="12" customHeight="1">
      <c r="A205" s="7"/>
      <c r="B205" s="7"/>
      <c r="C205" s="7"/>
      <c r="D205" s="8"/>
      <c r="E205" s="8"/>
      <c r="F205" s="7"/>
      <c r="G205" s="8"/>
      <c r="I205" s="7"/>
      <c r="J205" s="8"/>
      <c r="K205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06" spans="1:11" ht="12" customHeight="1">
      <c r="A206" s="7"/>
      <c r="B206" s="7"/>
      <c r="C206" s="7"/>
      <c r="D206" s="8"/>
      <c r="E206" s="8"/>
      <c r="F206" s="7"/>
      <c r="G206" s="8"/>
      <c r="I206" s="7"/>
      <c r="J206" s="8"/>
      <c r="K206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07" spans="1:11" ht="12" customHeight="1">
      <c r="A207" s="7"/>
      <c r="B207" s="7"/>
      <c r="C207" s="7"/>
      <c r="D207" s="8"/>
      <c r="E207" s="8"/>
      <c r="F207" s="7"/>
      <c r="G207" s="8"/>
      <c r="I207" s="7"/>
      <c r="J207" s="8"/>
      <c r="K207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08" spans="1:11" ht="12" customHeight="1">
      <c r="A208" s="7"/>
      <c r="B208" s="7"/>
      <c r="C208" s="7"/>
      <c r="D208" s="8"/>
      <c r="E208" s="8"/>
      <c r="F208" s="7"/>
      <c r="G208" s="8"/>
      <c r="I208" s="7"/>
      <c r="J208" s="8"/>
      <c r="K208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09" spans="1:11" ht="12" customHeight="1">
      <c r="A209" s="7"/>
      <c r="B209" s="7"/>
      <c r="C209" s="7"/>
      <c r="D209" s="8"/>
      <c r="E209" s="8"/>
      <c r="F209" s="7"/>
      <c r="G209" s="8"/>
      <c r="I209" s="7"/>
      <c r="J209" s="8"/>
      <c r="K209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10" spans="1:11" ht="12" customHeight="1">
      <c r="A210" s="7"/>
      <c r="B210" s="7"/>
      <c r="C210" s="7"/>
      <c r="D210" s="8"/>
      <c r="E210" s="8"/>
      <c r="F210" s="7"/>
      <c r="G210" s="8"/>
      <c r="I210" s="7"/>
      <c r="J210" s="8"/>
      <c r="K210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11" spans="1:11" ht="12" customHeight="1">
      <c r="A211" s="7"/>
      <c r="B211" s="7"/>
      <c r="C211" s="7"/>
      <c r="D211" s="8"/>
      <c r="E211" s="8"/>
      <c r="F211" s="7"/>
      <c r="G211" s="8"/>
      <c r="I211" s="7"/>
      <c r="J211" s="8"/>
      <c r="K211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12" spans="1:11" ht="12" customHeight="1">
      <c r="A212" s="7"/>
      <c r="B212" s="7"/>
      <c r="C212" s="7"/>
      <c r="D212" s="8"/>
      <c r="E212" s="8"/>
      <c r="F212" s="7"/>
      <c r="G212" s="8"/>
      <c r="I212" s="7"/>
      <c r="J212" s="8"/>
      <c r="K212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13" spans="1:11" ht="12" customHeight="1">
      <c r="A213" s="7"/>
      <c r="B213" s="7"/>
      <c r="C213" s="7"/>
      <c r="D213" s="8"/>
      <c r="E213" s="8"/>
      <c r="F213" s="7"/>
      <c r="G213" s="8"/>
      <c r="I213" s="7"/>
      <c r="J213" s="8"/>
      <c r="K213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14" spans="1:11" ht="12" customHeight="1">
      <c r="A214" s="7"/>
      <c r="B214" s="7"/>
      <c r="C214" s="7"/>
      <c r="D214" s="8"/>
      <c r="E214" s="8"/>
      <c r="F214" s="7"/>
      <c r="G214" s="8"/>
      <c r="I214" s="7"/>
      <c r="J214" s="8"/>
      <c r="K214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15" spans="1:11" ht="12" customHeight="1">
      <c r="A215" s="7"/>
      <c r="B215" s="7"/>
      <c r="C215" s="7"/>
      <c r="D215" s="8"/>
      <c r="E215" s="8"/>
      <c r="F215" s="7"/>
      <c r="G215" s="8"/>
      <c r="I215" s="7"/>
      <c r="J215" s="8"/>
      <c r="K215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16" spans="1:11" ht="12" customHeight="1">
      <c r="A216" s="7"/>
      <c r="B216" s="7"/>
      <c r="C216" s="7"/>
      <c r="D216" s="8"/>
      <c r="E216" s="8"/>
      <c r="F216" s="7"/>
      <c r="G216" s="8"/>
      <c r="I216" s="7"/>
      <c r="J216" s="8"/>
      <c r="K216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17" spans="1:11" ht="12" customHeight="1">
      <c r="A217" s="7"/>
      <c r="B217" s="7"/>
      <c r="C217" s="7"/>
      <c r="D217" s="8"/>
      <c r="E217" s="8"/>
      <c r="F217" s="7"/>
      <c r="G217" s="8"/>
      <c r="I217" s="7"/>
      <c r="J217" s="8"/>
      <c r="K217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18" spans="1:11" ht="12" customHeight="1">
      <c r="A218" s="7"/>
      <c r="B218" s="7"/>
      <c r="C218" s="7"/>
      <c r="D218" s="8"/>
      <c r="E218" s="8"/>
      <c r="F218" s="7"/>
      <c r="G218" s="8"/>
      <c r="I218" s="7"/>
      <c r="J218" s="8"/>
      <c r="K218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19" spans="1:11" ht="12" customHeight="1">
      <c r="A219" s="7"/>
      <c r="B219" s="7"/>
      <c r="C219" s="7"/>
      <c r="D219" s="8"/>
      <c r="E219" s="8"/>
      <c r="F219" s="7"/>
      <c r="G219" s="8"/>
      <c r="I219" s="7"/>
      <c r="J219" s="8"/>
      <c r="K219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20" spans="1:11" ht="12" customHeight="1">
      <c r="A220" s="7"/>
      <c r="B220" s="7"/>
      <c r="C220" s="7"/>
      <c r="D220" s="8"/>
      <c r="E220" s="8"/>
      <c r="F220" s="7"/>
      <c r="G220" s="8"/>
      <c r="I220" s="7"/>
      <c r="J220" s="8"/>
      <c r="K220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21" spans="1:11" ht="12" customHeight="1">
      <c r="A221" s="7"/>
      <c r="B221" s="7"/>
      <c r="C221" s="7"/>
      <c r="D221" s="8"/>
      <c r="E221" s="8"/>
      <c r="F221" s="7"/>
      <c r="G221" s="8"/>
      <c r="I221" s="7"/>
      <c r="J221" s="8"/>
      <c r="K221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22" spans="1:11" ht="12" customHeight="1">
      <c r="A222" s="7"/>
      <c r="B222" s="7"/>
      <c r="C222" s="7"/>
      <c r="D222" s="8"/>
      <c r="E222" s="8"/>
      <c r="F222" s="7"/>
      <c r="G222" s="8"/>
      <c r="H222" s="8"/>
      <c r="I222" s="7"/>
      <c r="J222" s="8"/>
      <c r="K222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23" spans="1:11" ht="12" customHeight="1">
      <c r="A223" s="7"/>
      <c r="B223" s="7"/>
      <c r="C223" s="7"/>
      <c r="D223" s="8"/>
      <c r="E223" s="8"/>
      <c r="F223" s="7"/>
      <c r="G223" s="8"/>
      <c r="H223" s="8"/>
      <c r="I223" s="7"/>
      <c r="J223" s="8"/>
      <c r="K223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24" spans="1:11" ht="12" customHeight="1">
      <c r="A224" s="7"/>
      <c r="B224" s="7"/>
      <c r="C224" s="7"/>
      <c r="D224" s="8"/>
      <c r="E224" s="8"/>
      <c r="F224" s="7"/>
      <c r="G224" s="8"/>
      <c r="H224" s="8"/>
      <c r="I224" s="7"/>
      <c r="J224" s="8"/>
      <c r="K224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25" spans="1:11" ht="12" customHeight="1">
      <c r="A225" s="7"/>
      <c r="B225" s="7"/>
      <c r="C225" s="7"/>
      <c r="D225" s="8"/>
      <c r="E225" s="8"/>
      <c r="F225" s="7"/>
      <c r="G225" s="8"/>
      <c r="H225" s="8"/>
      <c r="I225" s="7"/>
      <c r="J225" s="8"/>
      <c r="K225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26" spans="1:11" ht="12" customHeight="1">
      <c r="A226" s="7"/>
      <c r="B226" s="7"/>
      <c r="C226" s="7"/>
      <c r="D226" s="8"/>
      <c r="E226" s="8"/>
      <c r="F226" s="7"/>
      <c r="G226" s="8"/>
      <c r="H226" s="8"/>
      <c r="I226" s="7"/>
      <c r="J226" s="8"/>
      <c r="K226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27" spans="1:11" ht="12" customHeight="1">
      <c r="A227" s="7"/>
      <c r="B227" s="7"/>
      <c r="C227" s="7"/>
      <c r="D227" s="8"/>
      <c r="E227" s="8"/>
      <c r="F227" s="7"/>
      <c r="G227" s="8"/>
      <c r="H227" s="8"/>
      <c r="I227" s="7"/>
      <c r="J227" s="8"/>
      <c r="K227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28" spans="1:11" ht="12" customHeight="1">
      <c r="A228" s="7"/>
      <c r="B228" s="7"/>
      <c r="C228" s="7"/>
      <c r="D228" s="8"/>
      <c r="E228" s="8"/>
      <c r="F228" s="7"/>
      <c r="G228" s="8"/>
      <c r="H228" s="8"/>
      <c r="I228" s="7"/>
      <c r="J228" s="8"/>
      <c r="K228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29" spans="1:11" ht="12" customHeight="1">
      <c r="A229" s="7"/>
      <c r="B229" s="7"/>
      <c r="C229" s="7"/>
      <c r="D229" s="8"/>
      <c r="E229" s="8"/>
      <c r="F229" s="7"/>
      <c r="G229" s="8"/>
      <c r="H229" s="8"/>
      <c r="I229" s="7"/>
      <c r="J229" s="8"/>
      <c r="K229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30" spans="1:11" ht="12" customHeight="1">
      <c r="A230" s="7"/>
      <c r="B230" s="7"/>
      <c r="C230" s="7"/>
      <c r="D230" s="8"/>
      <c r="E230" s="8"/>
      <c r="F230" s="7"/>
      <c r="G230" s="8"/>
      <c r="H230" s="8"/>
      <c r="I230" s="7"/>
      <c r="J230" s="8"/>
      <c r="K230" s="13" t="str">
        <f>TEXT(표1[[#This Row],[거래일자]],"mm월dd일/")&amp;" "&amp;표1[[#This Row],[내용]]&amp;"/"&amp;표1[[#This Row],[거래처명]]&amp;"/"&amp;표1[[#This Row],[수입/지출금액]]</f>
        <v>01월00일/ //</v>
      </c>
    </row>
    <row r="231" spans="1:11" ht="12" customHeight="1">
      <c r="A231" s="7"/>
      <c r="B231" s="7"/>
      <c r="C231" s="7"/>
      <c r="D231" s="8"/>
      <c r="E231" s="8"/>
      <c r="F231" s="7"/>
      <c r="G231" s="8"/>
      <c r="H231" s="8"/>
      <c r="I231" s="7"/>
      <c r="J231" s="8"/>
      <c r="K231" s="13" t="str">
        <f>TEXT(표1[[#This Row],[거래일자]],"mm월dd일/")&amp;" "&amp;표1[[#This Row],[내용]]&amp;"/"&amp;표1[[#This Row],[거래처명]]&amp; CHAR(13) &amp;"안녕"</f>
        <v>01월00일/ /_x000D_안녕</v>
      </c>
    </row>
    <row r="232" spans="1:11" ht="12" customHeight="1">
      <c r="A232" s="7"/>
      <c r="B232" s="7"/>
      <c r="C232" s="7"/>
      <c r="D232" s="8"/>
      <c r="E232" s="8"/>
      <c r="F232" s="7"/>
      <c r="G232" s="8"/>
      <c r="H232" s="8"/>
      <c r="I232" s="7"/>
      <c r="J232" s="8"/>
      <c r="K232" s="13" t="str">
        <f>TEXT(표1[[#This Row],[거래일자]],"mm월dd일/")&amp;" "&amp;표1[[#This Row],[내용]]&amp;"/"&amp;표1[[#This Row],[거래처명]]&amp; CHAR(13) &amp;"안녕"</f>
        <v>01월00일/ /_x000D_안녕</v>
      </c>
    </row>
    <row r="233" spans="1:11" ht="12" customHeight="1">
      <c r="A233" s="7"/>
      <c r="B233" s="7"/>
      <c r="C233" s="7"/>
      <c r="D233" s="8"/>
      <c r="E233" s="8"/>
      <c r="F233" s="7"/>
      <c r="G233" s="8"/>
      <c r="H233" s="8"/>
      <c r="I233" s="7"/>
      <c r="J233" s="8"/>
      <c r="K233" s="13" t="str">
        <f>TEXT(표1[[#This Row],[거래일자]],"mm월dd일/")&amp;" "&amp;표1[[#This Row],[내용]]&amp;"/"&amp;표1[[#This Row],[거래처명]]&amp; CHAR(13) &amp;"안녕"</f>
        <v>01월00일/ /_x000D_안녕</v>
      </c>
    </row>
    <row r="234" spans="1:11" ht="12" customHeight="1">
      <c r="A234" s="7"/>
      <c r="B234" s="7"/>
      <c r="C234" s="7"/>
      <c r="D234" s="8"/>
      <c r="E234" s="8"/>
      <c r="F234" s="7"/>
      <c r="G234" s="8"/>
      <c r="H234" s="8"/>
      <c r="I234" s="7"/>
      <c r="J234" s="8"/>
      <c r="K234" s="13" t="str">
        <f>TEXT(표1[[#This Row],[거래일자]],"mm월dd일/")&amp;" "&amp;표1[[#This Row],[내용]]&amp;"/"&amp;표1[[#This Row],[거래처명]]&amp; CHAR(13) &amp;"안녕"</f>
        <v>01월00일/ /_x000D_안녕</v>
      </c>
    </row>
    <row r="235" spans="1:11" ht="12" customHeight="1">
      <c r="A235" s="7"/>
      <c r="B235" s="7"/>
      <c r="C235" s="7"/>
      <c r="D235" s="8"/>
      <c r="E235" s="8"/>
      <c r="F235" s="7"/>
      <c r="G235" s="8"/>
      <c r="H235" s="8"/>
      <c r="I235" s="7"/>
      <c r="J235" s="8"/>
      <c r="K235" s="13" t="str">
        <f>TEXT(표1[[#This Row],[거래일자]],"mm월dd일/")&amp;" "&amp;표1[[#This Row],[내용]]&amp;"/"&amp;표1[[#This Row],[거래처명]]&amp; CHAR(13) &amp;"안녕"</f>
        <v>01월00일/ /_x000D_안녕</v>
      </c>
    </row>
    <row r="236" spans="1:11" ht="12" customHeight="1">
      <c r="A236" s="7"/>
      <c r="B236" s="7"/>
      <c r="C236" s="7"/>
      <c r="D236" s="8"/>
      <c r="E236" s="8"/>
      <c r="F236" s="7"/>
      <c r="G236" s="8"/>
      <c r="H236" s="8"/>
      <c r="I236" s="7"/>
      <c r="J236" s="8"/>
      <c r="K236" s="13" t="str">
        <f>TEXT(표1[[#This Row],[거래일자]],"mm월dd일/")&amp;" "&amp;표1[[#This Row],[내용]]&amp;"/"&amp;표1[[#This Row],[거래처명]]&amp; CHAR(13) &amp;"안녕"</f>
        <v>01월00일/ /_x000D_안녕</v>
      </c>
    </row>
    <row r="237" spans="1:11" ht="12" customHeight="1">
      <c r="A237" s="7"/>
      <c r="B237" s="7"/>
      <c r="C237" s="7"/>
      <c r="D237" s="8"/>
      <c r="E237" s="8"/>
      <c r="F237" s="7"/>
      <c r="G237" s="8"/>
      <c r="H237" s="8"/>
      <c r="I237" s="7"/>
      <c r="J237" s="8"/>
      <c r="K237" s="13" t="str">
        <f>TEXT(표1[[#This Row],[거래일자]],"mm월dd일/")&amp;" "&amp;표1[[#This Row],[내용]]&amp;"/"&amp;표1[[#This Row],[거래처명]]&amp; CHAR(13) &amp;"안녕"</f>
        <v>01월00일/ /_x000D_안녕</v>
      </c>
    </row>
    <row r="238" spans="1:11" ht="12" customHeight="1">
      <c r="A238" s="7"/>
      <c r="B238" s="7"/>
      <c r="C238" s="7"/>
      <c r="D238" s="8"/>
      <c r="E238" s="8"/>
      <c r="F238" s="7"/>
      <c r="G238" s="8"/>
      <c r="H238" s="8"/>
      <c r="I238" s="7"/>
      <c r="J238" s="8"/>
      <c r="K238" s="13" t="str">
        <f>TEXT(표1[[#This Row],[거래일자]],"mm월dd일/")&amp;" "&amp;표1[[#This Row],[내용]]&amp;"/"&amp;표1[[#This Row],[거래처명]]&amp; CHAR(13) &amp;"안녕"</f>
        <v>01월00일/ /_x000D_안녕</v>
      </c>
    </row>
    <row r="239" spans="1:11" ht="12" customHeight="1">
      <c r="A239" s="7"/>
      <c r="B239" s="7"/>
      <c r="C239" s="7"/>
      <c r="D239" s="8"/>
      <c r="E239" s="8"/>
      <c r="F239" s="7"/>
      <c r="G239" s="8"/>
      <c r="H239" s="8"/>
      <c r="I239" s="7"/>
      <c r="J239" s="8"/>
      <c r="K239" s="13" t="str">
        <f>TEXT(표1[[#This Row],[거래일자]],"mm월dd일/")&amp;" "&amp;표1[[#This Row],[내용]]&amp;"/"&amp;표1[[#This Row],[거래처명]]&amp; CHAR(13) &amp;"안녕"</f>
        <v>01월00일/ /_x000D_안녕</v>
      </c>
    </row>
    <row r="240" spans="1:11" ht="12" customHeight="1">
      <c r="A240" s="7"/>
      <c r="B240" s="7"/>
      <c r="C240" s="7"/>
      <c r="D240" s="8"/>
      <c r="E240" s="8"/>
      <c r="F240" s="7"/>
      <c r="G240" s="8"/>
      <c r="H240" s="8"/>
      <c r="I240" s="7"/>
      <c r="J240" s="8"/>
      <c r="K240" s="13" t="str">
        <f>TEXT(표1[[#This Row],[거래일자]],"mm월dd일/")&amp;" "&amp;표1[[#This Row],[내용]]&amp;"/"&amp;표1[[#This Row],[거래처명]]&amp; CHAR(13) &amp;"안녕"</f>
        <v>01월00일/ /_x000D_안녕</v>
      </c>
    </row>
    <row r="241" spans="1:11" ht="12" customHeight="1">
      <c r="A241" s="7"/>
      <c r="B241" s="7"/>
      <c r="C241" s="7"/>
      <c r="D241" s="8"/>
      <c r="E241" s="8"/>
      <c r="F241" s="7"/>
      <c r="G241" s="8"/>
      <c r="H241" s="8"/>
      <c r="I241" s="7"/>
      <c r="J241" s="8"/>
      <c r="K241" s="13" t="str">
        <f>TEXT(표1[[#This Row],[거래일자]],"mm월dd일/")&amp;" "&amp;표1[[#This Row],[내용]]&amp;"/"&amp;표1[[#This Row],[거래처명]]&amp; CHAR(13) &amp;"안녕"</f>
        <v>01월00일/ /_x000D_안녕</v>
      </c>
    </row>
    <row r="242" spans="1:11" ht="12" customHeight="1">
      <c r="A242" s="7"/>
      <c r="B242" s="7"/>
      <c r="C242" s="7"/>
      <c r="D242" s="8"/>
      <c r="E242" s="8"/>
      <c r="F242" s="7"/>
      <c r="G242" s="8"/>
      <c r="H242" s="8"/>
      <c r="I242" s="7"/>
      <c r="J242" s="8"/>
      <c r="K242" s="13" t="str">
        <f>TEXT(표1[[#This Row],[거래일자]],"mm월dd일/")&amp;" "&amp;표1[[#This Row],[내용]]&amp;"/"&amp;표1[[#This Row],[거래처명]]&amp; CHAR(13) &amp;"안녕"</f>
        <v>01월00일/ /_x000D_안녕</v>
      </c>
    </row>
    <row r="243" spans="1:11" ht="12" customHeight="1">
      <c r="A243" s="7"/>
      <c r="B243" s="7"/>
      <c r="C243" s="7"/>
      <c r="D243" s="8"/>
      <c r="E243" s="8"/>
      <c r="F243" s="7"/>
      <c r="G243" s="8"/>
      <c r="H243" s="8"/>
      <c r="I243" s="7"/>
      <c r="J243" s="8"/>
      <c r="K243" s="13" t="str">
        <f>TEXT(표1[[#This Row],[거래일자]],"mm월dd일/")&amp;" "&amp;표1[[#This Row],[내용]]&amp;"/"&amp;표1[[#This Row],[거래처명]]&amp; CHAR(13) &amp;"안녕"</f>
        <v>01월00일/ /_x000D_안녕</v>
      </c>
    </row>
    <row r="244" spans="1:11" ht="12" customHeight="1">
      <c r="A244" s="7"/>
      <c r="B244" s="7"/>
      <c r="C244" s="7"/>
      <c r="D244" s="8"/>
      <c r="E244" s="8"/>
      <c r="F244" s="7"/>
      <c r="G244" s="8"/>
      <c r="H244" s="8"/>
      <c r="I244" s="7"/>
      <c r="J244" s="8"/>
      <c r="K244" s="13" t="str">
        <f>TEXT(표1[[#This Row],[거래일자]],"mm월dd일/")&amp;" "&amp;표1[[#This Row],[내용]]&amp;"/"&amp;표1[[#This Row],[거래처명]]&amp; CHAR(13) &amp;"안녕"</f>
        <v>01월00일/ /_x000D_안녕</v>
      </c>
    </row>
    <row r="245" spans="1:11" ht="12" customHeight="1">
      <c r="A245" s="7"/>
      <c r="B245" s="7"/>
      <c r="C245" s="7"/>
      <c r="D245" s="8"/>
      <c r="E245" s="8"/>
      <c r="F245" s="7"/>
      <c r="G245" s="8"/>
      <c r="H245" s="8"/>
      <c r="I245" s="7"/>
      <c r="J245" s="8"/>
      <c r="K245" s="13" t="str">
        <f>TEXT(표1[[#This Row],[거래일자]],"mm월dd일/")&amp;" "&amp;표1[[#This Row],[내용]]&amp;"/"&amp;표1[[#This Row],[거래처명]]&amp; CHAR(13) &amp;"안녕"</f>
        <v>01월00일/ /_x000D_안녕</v>
      </c>
    </row>
    <row r="246" spans="1:11" ht="12" customHeight="1">
      <c r="A246" s="7"/>
      <c r="B246" s="7"/>
      <c r="C246" s="7"/>
      <c r="D246" s="8"/>
      <c r="E246" s="8"/>
      <c r="F246" s="7"/>
      <c r="G246" s="8"/>
      <c r="H246" s="8"/>
      <c r="I246" s="7"/>
      <c r="J246" s="8"/>
      <c r="K246" s="13" t="str">
        <f>TEXT(표1[[#This Row],[거래일자]],"mm월dd일/")&amp;" "&amp;표1[[#This Row],[내용]]&amp;"/"&amp;표1[[#This Row],[거래처명]]&amp; CHAR(13) &amp;"안녕"</f>
        <v>01월00일/ /_x000D_안녕</v>
      </c>
    </row>
    <row r="247" spans="1:11" ht="12" customHeight="1">
      <c r="A247" s="7"/>
      <c r="B247" s="7"/>
      <c r="C247" s="7"/>
      <c r="D247" s="8"/>
      <c r="E247" s="8"/>
      <c r="F247" s="7"/>
      <c r="G247" s="8"/>
      <c r="H247" s="8"/>
      <c r="I247" s="7"/>
      <c r="J247" s="8"/>
      <c r="K247" s="13" t="str">
        <f>TEXT(표1[[#This Row],[거래일자]],"mm월dd일/")&amp;" "&amp;표1[[#This Row],[내용]]&amp;"/"&amp;표1[[#This Row],[거래처명]]&amp; CHAR(13) &amp;"안녕"</f>
        <v>01월00일/ /_x000D_안녕</v>
      </c>
    </row>
    <row r="248" spans="1:11" ht="12" customHeight="1">
      <c r="A248" s="7"/>
      <c r="B248" s="7"/>
      <c r="C248" s="7"/>
      <c r="D248" s="8"/>
      <c r="E248" s="8"/>
      <c r="F248" s="7"/>
      <c r="G248" s="8"/>
      <c r="H248" s="8"/>
      <c r="I248" s="7"/>
      <c r="J248" s="8"/>
      <c r="K248" s="13" t="str">
        <f>TEXT(표1[[#This Row],[거래일자]],"mm월dd일/")&amp;" "&amp;표1[[#This Row],[내용]]&amp;"/"&amp;표1[[#This Row],[거래처명]]&amp; CHAR(13) &amp;"안녕"</f>
        <v>01월00일/ /_x000D_안녕</v>
      </c>
    </row>
  </sheetData>
  <sheetProtection sheet="1" formatCells="0" formatColumns="0" formatRows="0" insertColumns="0" insertRows="0"/>
  <mergeCells count="4">
    <mergeCell ref="A1:J3"/>
    <mergeCell ref="E4:E5"/>
    <mergeCell ref="B5:D5"/>
    <mergeCell ref="I4:J5"/>
  </mergeCells>
  <phoneticPr fontId="0" type="noConversion"/>
  <dataValidations disablePrompts="1" xWindow="300" yWindow="550" count="2">
    <dataValidation type="list" allowBlank="1" showInputMessage="1" showErrorMessage="1" promptTitle="&lt;목록선택&gt;" prompt="입력하지 마시고 목록에서 선택해주세요" sqref="B8:B9" xr:uid="{46041DB1-24AA-4AE7-9562-E487F083C79F}">
      <formula1>관</formula1>
    </dataValidation>
    <dataValidation type="list" allowBlank="1" showInputMessage="1" showErrorMessage="1" sqref="C28:C168 C7:C26" xr:uid="{C142D4A9-537C-48C2-98AD-6FC19CF2B107}">
      <formula1>INDIRECT($B7)</formula1>
    </dataValidation>
  </dataValidations>
  <pageMargins left="3.937007874015748E-2" right="3.937007874015748E-2" top="0.51181102362204722" bottom="0.27559055118110237" header="0.31496062992125984" footer="7.874015748031496E-2"/>
  <pageSetup paperSize="9" scale="52" orientation="landscape" r:id="rId1"/>
  <headerFooter>
    <oddFooter>&amp;L재단법인 숲과나눔&amp;C&amp;P/&amp;N&amp;R&amp;D&amp;T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xWindow="300" yWindow="550" count="2">
        <x14:dataValidation type="list" allowBlank="1" showInputMessage="1" showErrorMessage="1" promptTitle="&lt;목록선택&gt;" prompt="입력하지 마시고 목록에서 선택해주세요" xr:uid="{B062C39B-DDF4-42AF-A78D-E39926F19AF6}">
          <x14:formula1>
            <xm:f>'4.관항목정리목록 (2)'!$B$5:$B$11</xm:f>
          </x14:formula1>
          <xm:sqref>B7</xm:sqref>
        </x14:dataValidation>
        <x14:dataValidation type="list" allowBlank="1" showInputMessage="1" showErrorMessage="1" promptTitle="&lt;목록선택&gt;" prompt="입력하지 마시고 목록에서 선택해주세요" xr:uid="{A46C2E5B-FC26-4EA3-AE4A-6A5638A6D298}">
          <x14:formula1>
            <xm:f>'4.관항목정리목록 (2)'!$B$5:$B$7</xm:f>
          </x14:formula1>
          <xm:sqref>B28:B169 B10:B26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0A3A-B7DF-4B73-BAA7-40A43E26D915}">
  <dimension ref="B1:BE9"/>
  <sheetViews>
    <sheetView workbookViewId="0">
      <selection activeCell="E7" sqref="E7:G7"/>
    </sheetView>
  </sheetViews>
  <sheetFormatPr defaultColWidth="15.109375" defaultRowHeight="14.4"/>
  <cols>
    <col min="1" max="1" width="5.109375" customWidth="1"/>
    <col min="2" max="2" width="24.5546875" bestFit="1" customWidth="1"/>
    <col min="3" max="3" width="23" bestFit="1" customWidth="1"/>
    <col min="4" max="4" width="11" hidden="1" customWidth="1"/>
    <col min="22" max="22" width="21.33203125" bestFit="1" customWidth="1"/>
    <col min="24" max="28" width="11.33203125" bestFit="1" customWidth="1"/>
    <col min="29" max="29" width="21.33203125" bestFit="1" customWidth="1"/>
    <col min="30" max="30" width="13.109375" bestFit="1" customWidth="1"/>
    <col min="31" max="31" width="25.109375" bestFit="1" customWidth="1"/>
    <col min="32" max="32" width="17" bestFit="1" customWidth="1"/>
    <col min="33" max="33" width="11" bestFit="1" customWidth="1"/>
    <col min="35" max="36" width="20.33203125" bestFit="1" customWidth="1"/>
    <col min="37" max="37" width="18.109375" bestFit="1" customWidth="1"/>
    <col min="38" max="38" width="20.33203125" bestFit="1" customWidth="1"/>
    <col min="39" max="39" width="11" bestFit="1" customWidth="1"/>
    <col min="40" max="40" width="7.33203125" bestFit="1" customWidth="1"/>
    <col min="41" max="41" width="9.109375" bestFit="1" customWidth="1"/>
    <col min="42" max="42" width="11" bestFit="1" customWidth="1"/>
    <col min="43" max="43" width="7.33203125" bestFit="1" customWidth="1"/>
    <col min="44" max="45" width="9.109375" bestFit="1" customWidth="1"/>
    <col min="46" max="46" width="11.33203125" bestFit="1" customWidth="1"/>
    <col min="47" max="47" width="21.33203125" bestFit="1" customWidth="1"/>
    <col min="48" max="49" width="11" bestFit="1" customWidth="1"/>
    <col min="50" max="50" width="7.33203125" bestFit="1" customWidth="1"/>
    <col min="51" max="51" width="25.109375" bestFit="1" customWidth="1"/>
    <col min="52" max="52" width="15.6640625" bestFit="1" customWidth="1"/>
    <col min="53" max="53" width="19" bestFit="1" customWidth="1"/>
    <col min="54" max="54" width="20.33203125" bestFit="1" customWidth="1"/>
    <col min="55" max="55" width="11" bestFit="1" customWidth="1"/>
    <col min="56" max="56" width="13.6640625" bestFit="1" customWidth="1"/>
    <col min="57" max="57" width="11" bestFit="1" customWidth="1"/>
  </cols>
  <sheetData>
    <row r="1" spans="2:57" ht="14.25" customHeight="1"/>
    <row r="2" spans="2:57" ht="21" customHeight="1">
      <c r="B2" t="s">
        <v>202</v>
      </c>
      <c r="V2" t="s">
        <v>36</v>
      </c>
      <c r="X2" s="146" t="s">
        <v>1</v>
      </c>
      <c r="Y2" s="146"/>
      <c r="Z2" s="146"/>
      <c r="AA2" s="146"/>
      <c r="AB2" s="146"/>
      <c r="AC2" s="146"/>
      <c r="AD2" s="146"/>
      <c r="AE2" s="146"/>
      <c r="AF2" s="146"/>
      <c r="AG2" s="146"/>
    </row>
    <row r="3" spans="2:57" ht="18" customHeight="1">
      <c r="D3" t="s">
        <v>110</v>
      </c>
    </row>
    <row r="4" spans="2:57" ht="14.25" customHeight="1">
      <c r="B4" t="s">
        <v>46</v>
      </c>
      <c r="C4" t="s">
        <v>109</v>
      </c>
      <c r="D4" t="s">
        <v>198</v>
      </c>
      <c r="E4" t="s">
        <v>215</v>
      </c>
      <c r="F4" t="s">
        <v>216</v>
      </c>
      <c r="G4" t="s">
        <v>217</v>
      </c>
      <c r="V4" t="s">
        <v>47</v>
      </c>
      <c r="X4" t="s">
        <v>47</v>
      </c>
      <c r="Y4" t="s">
        <v>48</v>
      </c>
      <c r="Z4" t="s">
        <v>49</v>
      </c>
      <c r="AA4" t="s">
        <v>50</v>
      </c>
      <c r="AB4" t="s">
        <v>51</v>
      </c>
      <c r="AC4" t="s">
        <v>52</v>
      </c>
      <c r="AD4" t="s">
        <v>53</v>
      </c>
      <c r="AE4" t="s">
        <v>53</v>
      </c>
      <c r="AF4" t="s">
        <v>54</v>
      </c>
      <c r="AG4" t="s">
        <v>55</v>
      </c>
      <c r="AJ4" s="146"/>
      <c r="AK4" s="146"/>
      <c r="AL4" s="146"/>
      <c r="AM4" s="146" t="s">
        <v>49</v>
      </c>
      <c r="AN4" s="146"/>
      <c r="AO4" s="146"/>
      <c r="AP4" s="146" t="s">
        <v>50</v>
      </c>
      <c r="AQ4" s="146"/>
      <c r="AR4" s="146"/>
      <c r="AS4" s="146"/>
      <c r="AT4" t="s">
        <v>51</v>
      </c>
      <c r="AU4" t="s">
        <v>52</v>
      </c>
      <c r="AV4" s="146" t="s">
        <v>53</v>
      </c>
      <c r="AW4" s="146"/>
      <c r="AX4" s="146"/>
      <c r="AY4" t="s">
        <v>53</v>
      </c>
      <c r="AZ4" s="146" t="s">
        <v>54</v>
      </c>
      <c r="BA4" s="146"/>
      <c r="BB4" s="146"/>
      <c r="BC4" s="146"/>
      <c r="BD4" s="146"/>
      <c r="BE4" t="s">
        <v>55</v>
      </c>
    </row>
    <row r="5" spans="2:57" ht="14.25" customHeight="1">
      <c r="B5" t="s">
        <v>32</v>
      </c>
      <c r="C5" t="s">
        <v>207</v>
      </c>
      <c r="V5" t="s">
        <v>63</v>
      </c>
      <c r="Y5" t="s">
        <v>13</v>
      </c>
      <c r="Z5" t="s">
        <v>13</v>
      </c>
      <c r="AA5" t="s">
        <v>13</v>
      </c>
      <c r="AD5" t="s">
        <v>59</v>
      </c>
      <c r="AF5" t="s">
        <v>60</v>
      </c>
      <c r="AI5" t="s">
        <v>64</v>
      </c>
      <c r="AJ5" t="s">
        <v>65</v>
      </c>
      <c r="AK5" t="s">
        <v>66</v>
      </c>
      <c r="AZ5" t="s">
        <v>67</v>
      </c>
      <c r="BA5" t="s">
        <v>68</v>
      </c>
      <c r="BB5" t="s">
        <v>69</v>
      </c>
      <c r="BC5" t="s">
        <v>27</v>
      </c>
      <c r="BD5" t="s">
        <v>70</v>
      </c>
    </row>
    <row r="6" spans="2:57" ht="14.25" customHeight="1">
      <c r="B6" t="s">
        <v>111</v>
      </c>
      <c r="C6" t="s">
        <v>139</v>
      </c>
      <c r="V6" t="s">
        <v>71</v>
      </c>
      <c r="Y6" t="s">
        <v>56</v>
      </c>
      <c r="Z6" t="s">
        <v>56</v>
      </c>
      <c r="AA6" t="s">
        <v>57</v>
      </c>
      <c r="AD6" t="s">
        <v>13</v>
      </c>
      <c r="AF6" t="s">
        <v>61</v>
      </c>
      <c r="AI6" t="s">
        <v>72</v>
      </c>
      <c r="AJ6" t="s">
        <v>73</v>
      </c>
      <c r="AK6" t="s">
        <v>74</v>
      </c>
      <c r="AZ6" t="s">
        <v>75</v>
      </c>
      <c r="BA6" t="s">
        <v>76</v>
      </c>
      <c r="BB6" t="s">
        <v>77</v>
      </c>
      <c r="BC6" t="s">
        <v>78</v>
      </c>
      <c r="BD6" t="s">
        <v>79</v>
      </c>
    </row>
    <row r="7" spans="2:57" ht="14.25" customHeight="1">
      <c r="B7" t="s">
        <v>104</v>
      </c>
      <c r="C7" t="s">
        <v>104</v>
      </c>
      <c r="E7" t="s">
        <v>201</v>
      </c>
      <c r="F7" t="s">
        <v>214</v>
      </c>
      <c r="G7" t="s">
        <v>208</v>
      </c>
      <c r="V7" t="s">
        <v>80</v>
      </c>
      <c r="AA7" t="s">
        <v>58</v>
      </c>
      <c r="AF7" t="s">
        <v>62</v>
      </c>
      <c r="AI7" t="s">
        <v>81</v>
      </c>
      <c r="AJ7" t="s">
        <v>82</v>
      </c>
      <c r="AK7" t="s">
        <v>83</v>
      </c>
      <c r="AZ7" t="s">
        <v>84</v>
      </c>
      <c r="BA7" t="s">
        <v>85</v>
      </c>
      <c r="BB7" t="s">
        <v>86</v>
      </c>
      <c r="BC7" t="s">
        <v>87</v>
      </c>
    </row>
    <row r="8" spans="2:57" ht="14.25" customHeight="1">
      <c r="C8" t="s">
        <v>111</v>
      </c>
      <c r="V8" t="s">
        <v>52</v>
      </c>
      <c r="AF8" t="s">
        <v>27</v>
      </c>
      <c r="AI8" t="s">
        <v>88</v>
      </c>
      <c r="AJ8" t="s">
        <v>89</v>
      </c>
      <c r="AK8" t="s">
        <v>90</v>
      </c>
      <c r="AZ8" t="s">
        <v>91</v>
      </c>
      <c r="BB8" t="s">
        <v>92</v>
      </c>
      <c r="BC8" t="s">
        <v>93</v>
      </c>
    </row>
    <row r="9" spans="2:57" ht="14.25" customHeight="1">
      <c r="V9" t="s">
        <v>53</v>
      </c>
      <c r="AI9" t="s">
        <v>94</v>
      </c>
      <c r="AJ9" t="s">
        <v>95</v>
      </c>
      <c r="AK9" t="s">
        <v>96</v>
      </c>
      <c r="AZ9" t="s">
        <v>97</v>
      </c>
      <c r="BB9" t="s">
        <v>91</v>
      </c>
    </row>
  </sheetData>
  <mergeCells count="6">
    <mergeCell ref="AZ4:BD4"/>
    <mergeCell ref="X2:AG2"/>
    <mergeCell ref="AJ4:AL4"/>
    <mergeCell ref="AM4:AO4"/>
    <mergeCell ref="AP4:AS4"/>
    <mergeCell ref="AV4:AX4"/>
  </mergeCells>
  <phoneticPr fontId="0" type="noConversion"/>
  <pageMargins left="0.38" right="0.17" top="0.75" bottom="0.75" header="0.3" footer="0.3"/>
  <pageSetup paperSize="9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B689E-9F63-42D5-868F-4BEBCC017729}">
  <dimension ref="B1:K32"/>
  <sheetViews>
    <sheetView zoomScaleNormal="100" zoomScaleSheetLayoutView="100" workbookViewId="0">
      <pane xSplit="4" ySplit="6" topLeftCell="E7" activePane="bottomRight" state="frozen"/>
      <selection pane="topRight" activeCell="H1" sqref="H1"/>
      <selection pane="bottomLeft" activeCell="A9" sqref="A9"/>
      <selection pane="bottomRight" activeCell="B1" sqref="B1:B1048576"/>
    </sheetView>
  </sheetViews>
  <sheetFormatPr defaultColWidth="9" defaultRowHeight="14.4"/>
  <cols>
    <col min="2" max="2" width="13.109375" customWidth="1"/>
    <col min="3" max="4" width="19.88671875" customWidth="1"/>
    <col min="5" max="5" width="32.88671875" customWidth="1"/>
    <col min="6" max="6" width="14.109375" customWidth="1"/>
    <col min="7" max="7" width="13.109375" bestFit="1" customWidth="1"/>
    <col min="8" max="8" width="13.6640625" customWidth="1"/>
    <col min="9" max="10" width="15.109375" customWidth="1"/>
    <col min="11" max="11" width="41.6640625" customWidth="1"/>
  </cols>
  <sheetData>
    <row r="1" spans="2:11">
      <c r="B1" s="146"/>
      <c r="C1" t="s">
        <v>17</v>
      </c>
      <c r="G1" t="e">
        <f>SUM(활동비지출일별내역!#REF!)</f>
        <v>#REF!</v>
      </c>
      <c r="H1">
        <f>SUM(활동비지출일별내역!G7:G248)</f>
        <v>6001840</v>
      </c>
    </row>
    <row r="2" spans="2:11">
      <c r="B2" s="146"/>
      <c r="C2" t="s">
        <v>18</v>
      </c>
      <c r="G2" t="e">
        <f>SUM(G7:G31)</f>
        <v>#REF!</v>
      </c>
      <c r="H2" t="e">
        <f>SUM(H7:H31)</f>
        <v>#REF!</v>
      </c>
    </row>
    <row r="3" spans="2:11">
      <c r="B3" s="146"/>
      <c r="C3" t="s">
        <v>16</v>
      </c>
      <c r="G3" t="e">
        <f>G1-G2</f>
        <v>#REF!</v>
      </c>
      <c r="H3" t="e">
        <f>H1-H2</f>
        <v>#REF!</v>
      </c>
    </row>
    <row r="4" spans="2:11" ht="28.5" customHeight="1">
      <c r="B4" s="146" t="s">
        <v>33</v>
      </c>
      <c r="C4" s="146"/>
      <c r="D4" s="146"/>
      <c r="E4" s="146"/>
      <c r="F4" s="146"/>
      <c r="G4" s="146"/>
      <c r="H4" s="146"/>
      <c r="I4" s="146"/>
      <c r="J4" s="146"/>
      <c r="K4" s="146"/>
    </row>
    <row r="6" spans="2:11">
      <c r="B6" t="s">
        <v>0</v>
      </c>
      <c r="C6" t="s">
        <v>1</v>
      </c>
      <c r="D6" t="s">
        <v>2</v>
      </c>
      <c r="E6" t="s">
        <v>100</v>
      </c>
      <c r="F6" t="s">
        <v>99</v>
      </c>
      <c r="G6" t="s">
        <v>21</v>
      </c>
      <c r="H6" t="s">
        <v>22</v>
      </c>
      <c r="I6" t="s">
        <v>101</v>
      </c>
      <c r="J6" t="s">
        <v>98</v>
      </c>
      <c r="K6" t="s">
        <v>20</v>
      </c>
    </row>
    <row r="7" spans="2:11">
      <c r="B7" t="s">
        <v>3</v>
      </c>
      <c r="C7" t="s">
        <v>4</v>
      </c>
      <c r="G7" t="e" cm="1">
        <f t="array" ref="G7">SUMPRODUCT((활동비지출일별내역!$B$7:$B$248=B7)*(활동비지출일별내역!#REF!=정산보고서!C7)*(활동비지출일별내역!$C$7:$C$248=정산보고서!D7)*활동비지출일별내역!#REF!)</f>
        <v>#REF!</v>
      </c>
      <c r="H7" t="e" cm="1">
        <f t="array" ref="H7">SUMPRODUCT((활동비지출일별내역!$B$7:$B$248=B7)*(활동비지출일별내역!#REF!=정산보고서!C7)*(활동비지출일별내역!$C$7:$C$248=정산보고서!D7)*활동비지출일별내역!$G$7:$G$248)</f>
        <v>#REF!</v>
      </c>
    </row>
    <row r="8" spans="2:11">
      <c r="B8" t="s">
        <v>3</v>
      </c>
      <c r="C8" t="s">
        <v>5</v>
      </c>
      <c r="G8" t="e" cm="1">
        <f t="array" ref="G8">SUMPRODUCT((활동비지출일별내역!$B$7:$B$248=B8)*(활동비지출일별내역!#REF!=정산보고서!C8)*(활동비지출일별내역!$C$7:$C$248=정산보고서!D8)*활동비지출일별내역!#REF!)</f>
        <v>#REF!</v>
      </c>
      <c r="H8" t="e" cm="1">
        <f t="array" ref="H8">SUMPRODUCT((활동비지출일별내역!$B$7:$B$248=B8)*(활동비지출일별내역!#REF!=정산보고서!C8)*(활동비지출일별내역!$C$7:$C$248=정산보고서!D8)*활동비지출일별내역!$G$7:$G$248)</f>
        <v>#REF!</v>
      </c>
    </row>
    <row r="9" spans="2:11">
      <c r="B9" t="s">
        <v>3</v>
      </c>
      <c r="C9" t="s">
        <v>8</v>
      </c>
    </row>
    <row r="10" spans="2:11">
      <c r="B10" t="s">
        <v>104</v>
      </c>
      <c r="C10" t="s">
        <v>23</v>
      </c>
      <c r="D10" t="s">
        <v>103</v>
      </c>
      <c r="G10" t="e" cm="1">
        <f t="array" ref="G10">SUMPRODUCT((활동비지출일별내역!$B$7:$B$248=B10)*(활동비지출일별내역!#REF!=정산보고서!C10)*(활동비지출일별내역!$C$7:$C$248=정산보고서!D10)*활동비지출일별내역!#REF!)</f>
        <v>#REF!</v>
      </c>
      <c r="H10" t="e" cm="1">
        <f t="array" ref="H10">SUMPRODUCT((활동비지출일별내역!$B$7:$B$248=B10)*(활동비지출일별내역!#REF!=정산보고서!C10)*(활동비지출일별내역!$C$7:$C$248=정산보고서!D10)*활동비지출일별내역!$G$7:$G$248)</f>
        <v>#REF!</v>
      </c>
    </row>
    <row r="11" spans="2:11">
      <c r="B11" t="s">
        <v>12</v>
      </c>
      <c r="C11" t="s">
        <v>8</v>
      </c>
    </row>
    <row r="12" spans="2:11">
      <c r="B12" t="s">
        <v>26</v>
      </c>
      <c r="C12" t="s">
        <v>6</v>
      </c>
      <c r="G12" t="e" cm="1">
        <f t="array" ref="G12">SUMPRODUCT((활동비지출일별내역!$B$7:$B$248=B12)*(활동비지출일별내역!#REF!=정산보고서!C12)*(활동비지출일별내역!$C$7:$C$248=정산보고서!D12)*활동비지출일별내역!#REF!)</f>
        <v>#REF!</v>
      </c>
      <c r="H12" t="e" cm="1">
        <f t="array" ref="H12">SUMPRODUCT((활동비지출일별내역!$B$7:$B$248=B12)*(활동비지출일별내역!#REF!=정산보고서!C12)*(활동비지출일별내역!$C$7:$C$248=정산보고서!D12)*활동비지출일별내역!$G$7:$G$248)</f>
        <v>#REF!</v>
      </c>
    </row>
    <row r="13" spans="2:11">
      <c r="B13" t="s">
        <v>9</v>
      </c>
      <c r="C13" t="s">
        <v>10</v>
      </c>
      <c r="G13" t="e" cm="1">
        <f t="array" ref="G13">SUMPRODUCT((활동비지출일별내역!$B$7:$B$248=B13)*(활동비지출일별내역!#REF!=정산보고서!C13)*(활동비지출일별내역!$C$7:$C$248=정산보고서!D13)*활동비지출일별내역!#REF!)</f>
        <v>#REF!</v>
      </c>
      <c r="H13" t="e" cm="1">
        <f t="array" ref="H13">SUMPRODUCT((활동비지출일별내역!$B$7:$B$248=B13)*(활동비지출일별내역!#REF!=정산보고서!C13)*(활동비지출일별내역!$C$7:$C$248=정산보고서!D13)*활동비지출일별내역!$G$7:$G$248)</f>
        <v>#REF!</v>
      </c>
    </row>
    <row r="14" spans="2:11">
      <c r="B14" t="s">
        <v>6</v>
      </c>
      <c r="C14" t="s">
        <v>8</v>
      </c>
    </row>
    <row r="15" spans="2:11">
      <c r="B15" t="s">
        <v>26</v>
      </c>
      <c r="C15" t="s">
        <v>7</v>
      </c>
      <c r="G15" t="e" cm="1">
        <f t="array" ref="G15">SUMPRODUCT((활동비지출일별내역!$B$7:$B$248=B15)*(활동비지출일별내역!#REF!=정산보고서!C15)*(활동비지출일별내역!$C$7:$C$248=정산보고서!D15)*활동비지출일별내역!#REF!)</f>
        <v>#REF!</v>
      </c>
      <c r="H15" t="e" cm="1">
        <f t="array" ref="H15">SUMPRODUCT((활동비지출일별내역!$B$7:$B$248=B15)*(활동비지출일별내역!#REF!=정산보고서!C15)*(활동비지출일별내역!$C$7:$C$248=정산보고서!D15)*활동비지출일별내역!$G$7:$G$248)</f>
        <v>#REF!</v>
      </c>
    </row>
    <row r="16" spans="2:11">
      <c r="B16" t="s">
        <v>9</v>
      </c>
      <c r="C16" t="s">
        <v>11</v>
      </c>
      <c r="G16" t="e" cm="1">
        <f t="array" ref="G16">SUMPRODUCT((활동비지출일별내역!$B$7:$B$248=B16)*(활동비지출일별내역!#REF!=정산보고서!C16)*(활동비지출일별내역!$C$7:$C$248=정산보고서!D16)*활동비지출일별내역!#REF!)</f>
        <v>#REF!</v>
      </c>
      <c r="H16" t="e" cm="1">
        <f t="array" ref="H16">SUMPRODUCT((활동비지출일별내역!$B$7:$B$248=B16)*(활동비지출일별내역!#REF!=정산보고서!C16)*(활동비지출일별내역!$C$7:$C$248=정산보고서!D16)*활동비지출일별내역!$G$7:$G$248)</f>
        <v>#REF!</v>
      </c>
    </row>
    <row r="17" spans="2:10" ht="15" thickBot="1">
      <c r="B17" t="s">
        <v>7</v>
      </c>
      <c r="C17" t="s">
        <v>8</v>
      </c>
    </row>
    <row r="18" spans="2:10" ht="15" thickTop="1">
      <c r="B18" t="s">
        <v>13</v>
      </c>
      <c r="C18" t="s">
        <v>28</v>
      </c>
      <c r="D18" t="s">
        <v>34</v>
      </c>
      <c r="F18">
        <v>10000000</v>
      </c>
      <c r="G18" t="e" cm="1">
        <f t="array" ref="G18">SUMPRODUCT((활동비지출일별내역!$B$7:$B$248=B18)*(활동비지출일별내역!#REF!=정산보고서!C18)*(활동비지출일별내역!$C$7:$C$248=정산보고서!D18)*활동비지출일별내역!#REF!)</f>
        <v>#REF!</v>
      </c>
      <c r="H18" t="e" cm="1">
        <f t="array" ref="H18">SUMPRODUCT((활동비지출일별내역!$B$7:$B$248=B18)*(활동비지출일별내역!#REF!=정산보고서!C18)*(활동비지출일별내역!$C$7:$C$248=정산보고서!D18)*활동비지출일별내역!$G$7:$G$248)</f>
        <v>#REF!</v>
      </c>
      <c r="I18" t="e">
        <f>F18-H18</f>
        <v>#REF!</v>
      </c>
      <c r="J18" t="e">
        <f>H18/F18</f>
        <v>#REF!</v>
      </c>
    </row>
    <row r="19" spans="2:10">
      <c r="B19" t="s">
        <v>13</v>
      </c>
      <c r="C19" t="s">
        <v>13</v>
      </c>
      <c r="D19" t="s">
        <v>35</v>
      </c>
      <c r="G19" t="e" cm="1">
        <f t="array" ref="G19">SUMPRODUCT((활동비지출일별내역!$B$7:$B$248=B19)*(활동비지출일별내역!#REF!=정산보고서!C19)*(활동비지출일별내역!$C$7:$C$248=정산보고서!D19)*활동비지출일별내역!#REF!)</f>
        <v>#REF!</v>
      </c>
      <c r="H19" t="e" cm="1">
        <f t="array" ref="H19">SUMPRODUCT((활동비지출일별내역!$B$7:$B$248=B19)*(활동비지출일별내역!#REF!=정산보고서!C19)*(활동비지출일별내역!$C$7:$C$248=정산보고서!D19)*활동비지출일별내역!$G$7:$G$248)</f>
        <v>#REF!</v>
      </c>
      <c r="I19" t="e">
        <f>F19-H19</f>
        <v>#REF!</v>
      </c>
    </row>
    <row r="20" spans="2:10">
      <c r="B20" t="s">
        <v>13</v>
      </c>
      <c r="C20" t="s">
        <v>8</v>
      </c>
      <c r="F20">
        <f>SUM(F18:F19)</f>
        <v>10000000</v>
      </c>
    </row>
    <row r="21" spans="2:10">
      <c r="B21" t="s">
        <v>32</v>
      </c>
      <c r="C21" t="s">
        <v>39</v>
      </c>
      <c r="D21" t="s">
        <v>40</v>
      </c>
      <c r="F21">
        <v>4250000</v>
      </c>
      <c r="G21" t="e" cm="1">
        <f t="array" ref="G21">SUMPRODUCT((활동비지출일별내역!$B$7:$B$248=B21)*(활동비지출일별내역!#REF!=정산보고서!C21)*(활동비지출일별내역!$C$7:$C$248=정산보고서!D21)*활동비지출일별내역!#REF!)</f>
        <v>#REF!</v>
      </c>
      <c r="H21" t="e" cm="1">
        <f t="array" ref="H21">SUMPRODUCT((활동비지출일별내역!$B$7:$B$248=B21)*(활동비지출일별내역!#REF!=정산보고서!C21)*(활동비지출일별내역!$C$7:$C$248=정산보고서!D21)*활동비지출일별내역!$G$7:$G$248)</f>
        <v>#REF!</v>
      </c>
      <c r="I21" t="e">
        <f>F21-H21</f>
        <v>#REF!</v>
      </c>
      <c r="J21" t="e">
        <f>H21/F21</f>
        <v>#REF!</v>
      </c>
    </row>
    <row r="22" spans="2:10">
      <c r="B22" t="s">
        <v>32</v>
      </c>
      <c r="C22" t="s">
        <v>39</v>
      </c>
      <c r="D22" t="s">
        <v>41</v>
      </c>
      <c r="F22">
        <v>2400000</v>
      </c>
      <c r="G22" t="e" cm="1">
        <f t="array" ref="G22">SUMPRODUCT((활동비지출일별내역!$B$7:$B$248=B22)*(활동비지출일별내역!#REF!=정산보고서!C22)*(활동비지출일별내역!$C$7:$C$248=정산보고서!D22)*활동비지출일별내역!#REF!)</f>
        <v>#REF!</v>
      </c>
      <c r="H22" t="e" cm="1">
        <f t="array" ref="H22">SUMPRODUCT((활동비지출일별내역!$B$7:$B$248=B22)*(활동비지출일별내역!#REF!=정산보고서!C22)*(활동비지출일별내역!$C$7:$C$248=정산보고서!D22)*활동비지출일별내역!$G$7:$G$248)</f>
        <v>#REF!</v>
      </c>
      <c r="I22" t="e">
        <f>F22-H22</f>
        <v>#REF!</v>
      </c>
      <c r="J22" t="e">
        <f>H22/F22</f>
        <v>#REF!</v>
      </c>
    </row>
    <row r="23" spans="2:10">
      <c r="B23" t="s">
        <v>32</v>
      </c>
      <c r="C23" t="s">
        <v>39</v>
      </c>
      <c r="D23" t="s">
        <v>42</v>
      </c>
      <c r="F23">
        <v>5080000</v>
      </c>
      <c r="G23" t="e" cm="1">
        <f t="array" ref="G23">SUMPRODUCT((활동비지출일별내역!$B$7:$B$248=B23)*(활동비지출일별내역!#REF!=정산보고서!C23)*(활동비지출일별내역!$C$7:$C$248=정산보고서!D23)*활동비지출일별내역!#REF!)</f>
        <v>#REF!</v>
      </c>
      <c r="H23" t="e" cm="1">
        <f t="array" ref="H23">SUMPRODUCT((활동비지출일별내역!$B$7:$B$248=B23)*(활동비지출일별내역!#REF!=정산보고서!C23)*(활동비지출일별내역!$C$7:$C$248=정산보고서!D23)*활동비지출일별내역!$G$7:$G$248)</f>
        <v>#REF!</v>
      </c>
      <c r="I23" t="e">
        <f t="shared" ref="I23:I26" si="0">F23-H23</f>
        <v>#REF!</v>
      </c>
      <c r="J23" t="e">
        <f t="shared" ref="J23:J26" si="1">H23/F23</f>
        <v>#REF!</v>
      </c>
    </row>
    <row r="24" spans="2:10">
      <c r="B24" t="s">
        <v>32</v>
      </c>
      <c r="C24" t="s">
        <v>39</v>
      </c>
      <c r="D24" t="s">
        <v>43</v>
      </c>
      <c r="F24">
        <v>1120000</v>
      </c>
      <c r="G24" t="e" cm="1">
        <f t="array" ref="G24">SUMPRODUCT((활동비지출일별내역!$B$7:$B$248=B24)*(활동비지출일별내역!#REF!=정산보고서!C24)*(활동비지출일별내역!$C$7:$C$248=정산보고서!D24)*활동비지출일별내역!#REF!)</f>
        <v>#REF!</v>
      </c>
      <c r="H24" t="e" cm="1">
        <f t="array" ref="H24">SUMPRODUCT((활동비지출일별내역!$B$7:$B$248=B24)*(활동비지출일별내역!#REF!=정산보고서!C24)*(활동비지출일별내역!$C$7:$C$248=정산보고서!D24)*활동비지출일별내역!$G$7:$G$248)</f>
        <v>#REF!</v>
      </c>
      <c r="I24" t="e">
        <f t="shared" si="0"/>
        <v>#REF!</v>
      </c>
      <c r="J24" t="e">
        <f t="shared" si="1"/>
        <v>#REF!</v>
      </c>
    </row>
    <row r="25" spans="2:10">
      <c r="B25" t="s">
        <v>32</v>
      </c>
      <c r="C25" t="s">
        <v>44</v>
      </c>
      <c r="D25" t="s">
        <v>31</v>
      </c>
      <c r="F25">
        <v>2600000</v>
      </c>
      <c r="G25" t="e" cm="1">
        <f t="array" ref="G25">SUMPRODUCT((활동비지출일별내역!$B$7:$B$248=B25)*(활동비지출일별내역!#REF!=정산보고서!C25)*(활동비지출일별내역!$C$7:$C$248=정산보고서!D25)*활동비지출일별내역!#REF!)</f>
        <v>#REF!</v>
      </c>
      <c r="H25" t="e" cm="1">
        <f t="array" ref="H25">SUMPRODUCT((활동비지출일별내역!$B$7:$B$248=B25)*(활동비지출일별내역!#REF!=정산보고서!C25)*(활동비지출일별내역!$C$7:$C$248=정산보고서!D25)*활동비지출일별내역!$G$7:$G$248)</f>
        <v>#REF!</v>
      </c>
      <c r="I25" t="e">
        <f t="shared" si="0"/>
        <v>#REF!</v>
      </c>
      <c r="J25" t="e">
        <f t="shared" si="1"/>
        <v>#REF!</v>
      </c>
    </row>
    <row r="26" spans="2:10">
      <c r="B26" t="s">
        <v>32</v>
      </c>
      <c r="C26" t="s">
        <v>44</v>
      </c>
      <c r="D26" t="s">
        <v>45</v>
      </c>
      <c r="F26">
        <v>1600000</v>
      </c>
      <c r="G26" t="e" cm="1">
        <f t="array" ref="G26">SUMPRODUCT((활동비지출일별내역!$B$7:$B$248=B26)*(활동비지출일별내역!#REF!=정산보고서!C26)*(활동비지출일별내역!$C$7:$C$248=정산보고서!D26)*활동비지출일별내역!#REF!)</f>
        <v>#REF!</v>
      </c>
      <c r="H26" t="e" cm="1">
        <f t="array" ref="H26">SUMPRODUCT((활동비지출일별내역!$B$7:$B$248=B26)*(활동비지출일별내역!#REF!=정산보고서!C26)*(활동비지출일별내역!$C$7:$C$248=정산보고서!D26)*활동비지출일별내역!$G$7:$G$248)</f>
        <v>#REF!</v>
      </c>
      <c r="I26" t="e">
        <f t="shared" si="0"/>
        <v>#REF!</v>
      </c>
      <c r="J26" t="e">
        <f t="shared" si="1"/>
        <v>#REF!</v>
      </c>
    </row>
    <row r="27" spans="2:10">
      <c r="B27" t="s">
        <v>32</v>
      </c>
      <c r="C27" t="s">
        <v>8</v>
      </c>
      <c r="F27">
        <f>SUM(F21:F26)</f>
        <v>17050000</v>
      </c>
    </row>
    <row r="28" spans="2:10">
      <c r="B28" t="s">
        <v>14</v>
      </c>
      <c r="C28" t="s">
        <v>27</v>
      </c>
      <c r="D28" t="s">
        <v>37</v>
      </c>
      <c r="F28">
        <v>350000</v>
      </c>
      <c r="G28" t="e" cm="1">
        <f t="array" ref="G28">SUMPRODUCT((활동비지출일별내역!$B$7:$B$248=B28)*(활동비지출일별내역!#REF!=정산보고서!C28)*(활동비지출일별내역!$C$7:$C$248=정산보고서!D28)*활동비지출일별내역!#REF!)</f>
        <v>#REF!</v>
      </c>
      <c r="H28" t="e" cm="1">
        <f t="array" ref="H28">SUMPRODUCT((활동비지출일별내역!$B$7:$B$248=B28)*(활동비지출일별내역!#REF!=정산보고서!C28)*(활동비지출일별내역!$C$7:$C$248=정산보고서!D28)*활동비지출일별내역!$G$7:$G$248)</f>
        <v>#REF!</v>
      </c>
      <c r="I28" t="e">
        <f>F28-H28</f>
        <v>#REF!</v>
      </c>
      <c r="J28" t="e">
        <f>H28/F28</f>
        <v>#REF!</v>
      </c>
    </row>
    <row r="29" spans="2:10">
      <c r="B29" t="s">
        <v>14</v>
      </c>
      <c r="C29" t="s">
        <v>27</v>
      </c>
      <c r="D29" t="s">
        <v>30</v>
      </c>
      <c r="F29">
        <v>500000</v>
      </c>
      <c r="G29" t="e" cm="1">
        <f t="array" ref="G29">SUMPRODUCT((활동비지출일별내역!$B$7:$B$248=B29)*(활동비지출일별내역!#REF!=정산보고서!C29)*(활동비지출일별내역!$C$7:$C$248=정산보고서!D29)*활동비지출일별내역!#REF!)</f>
        <v>#REF!</v>
      </c>
      <c r="H29" t="e" cm="1">
        <f t="array" ref="H29">SUMPRODUCT((활동비지출일별내역!$B$7:$B$248=B29)*(활동비지출일별내역!#REF!=정산보고서!C29)*(활동비지출일별내역!$C$7:$C$248=정산보고서!D29)*활동비지출일별내역!$G$7:$G$248)</f>
        <v>#REF!</v>
      </c>
      <c r="I29" t="e">
        <f>F29-H29</f>
        <v>#REF!</v>
      </c>
      <c r="J29" t="e">
        <f>H29/F29</f>
        <v>#REF!</v>
      </c>
    </row>
    <row r="30" spans="2:10">
      <c r="B30" t="s">
        <v>14</v>
      </c>
      <c r="C30" t="s">
        <v>27</v>
      </c>
      <c r="D30" t="s">
        <v>38</v>
      </c>
      <c r="F30">
        <v>100000</v>
      </c>
      <c r="G30" t="e" cm="1">
        <f t="array" ref="G30">SUMPRODUCT((활동비지출일별내역!$B$7:$B$248=B30)*(활동비지출일별내역!#REF!=정산보고서!C30)*(활동비지출일별내역!$C$7:$C$248=정산보고서!D30)*활동비지출일별내역!#REF!)</f>
        <v>#REF!</v>
      </c>
      <c r="H30" t="e" cm="1">
        <f t="array" ref="H30">SUMPRODUCT((활동비지출일별내역!$B$7:$B$248=B30)*(활동비지출일별내역!#REF!=정산보고서!C30)*(활동비지출일별내역!$C$7:$C$248=정산보고서!D30)*활동비지출일별내역!$G$7:$G$248)</f>
        <v>#REF!</v>
      </c>
      <c r="I30" t="e">
        <f>F30-H30</f>
        <v>#REF!</v>
      </c>
      <c r="J30" t="e">
        <f t="shared" ref="J30" si="2">H30/F30</f>
        <v>#REF!</v>
      </c>
    </row>
    <row r="31" spans="2:10">
      <c r="B31" t="s">
        <v>14</v>
      </c>
      <c r="C31" t="s">
        <v>8</v>
      </c>
      <c r="F31">
        <f>SUM(F28:F30)</f>
        <v>950000</v>
      </c>
      <c r="G31" t="e" cm="1">
        <f t="array" ref="G31">SUMPRODUCT((활동비지출일별내역!$B$7:$B$248=B31)*(활동비지출일별내역!#REF!=정산보고서!C31)*(활동비지출일별내역!$C$7:$C$248=정산보고서!D31)*활동비지출일별내역!#REF!)</f>
        <v>#REF!</v>
      </c>
      <c r="H31" t="e" cm="1">
        <f t="array" ref="H31">SUMPRODUCT((활동비지출일별내역!$B$7:$B$248=B31)*(활동비지출일별내역!#REF!=정산보고서!C31)*(활동비지출일별내역!$C$7:$C$248=정산보고서!D31)*활동비지출일별내역!$G$7:$G$248)</f>
        <v>#REF!</v>
      </c>
    </row>
    <row r="32" spans="2:10">
      <c r="B32" t="s">
        <v>25</v>
      </c>
      <c r="C32" t="s">
        <v>15</v>
      </c>
      <c r="F32">
        <f>SUM(F31,F27,F20)</f>
        <v>28000000</v>
      </c>
      <c r="G32" t="e">
        <f>SUM(G7:G31)</f>
        <v>#REF!</v>
      </c>
      <c r="H32" t="e">
        <f>SUM(H7:H31)</f>
        <v>#REF!</v>
      </c>
    </row>
  </sheetData>
  <autoFilter ref="A6:K32" xr:uid="{69E76DB6-489E-450E-801B-54DB4B575B97}"/>
  <mergeCells count="2">
    <mergeCell ref="B1:B3"/>
    <mergeCell ref="B4:K4"/>
  </mergeCells>
  <phoneticPr fontId="0" type="noConversion"/>
  <dataValidations count="4">
    <dataValidation type="list" allowBlank="1" showInputMessage="1" showErrorMessage="1" sqref="B21:B26 B28:B30 B19 B18:C18" xr:uid="{9C3AB536-4277-4051-9E95-11558CD6CFBD}">
      <formula1>관</formula1>
    </dataValidation>
    <dataValidation type="list" allowBlank="1" showInputMessage="1" showErrorMessage="1" promptTitle="&lt;목록선택&gt;" prompt="입력하지 마시고 목록에서 선택해주세요" sqref="B10" xr:uid="{CA541F6A-1BF8-4907-B861-4438E74FA922}">
      <formula1>관</formula1>
    </dataValidation>
    <dataValidation type="list" allowBlank="1" showInputMessage="1" showErrorMessage="1" promptTitle="&lt;목록선택&gt;" prompt="입력하지 마시고 목록에서 선택해주세요" sqref="D10" xr:uid="{5A0D3828-8708-442B-839B-FDCA346A6298}">
      <formula1>INDIRECT(C10)</formula1>
    </dataValidation>
    <dataValidation type="list" allowBlank="1" showInputMessage="1" showErrorMessage="1" promptTitle="&lt;목록선택&gt;" prompt="입력하지 마시고 목록에서 선택해주세요" sqref="C10" xr:uid="{EA8EB0D4-452F-481D-BE8D-98AC92E3339A}">
      <formula1>#REF!</formula1>
    </dataValidation>
  </dataValidations>
  <pageMargins left="0.19685039370078741" right="0.15748031496062992" top="0.31" bottom="0.35433070866141736" header="0.19685039370078741" footer="0.15748031496062992"/>
  <pageSetup paperSize="9" scale="71" orientation="portrait" r:id="rId1"/>
  <headerFooter>
    <oddFooter>&amp;L재단법인 숲과나눔&amp;C&amp;P/&amp;N&amp;R&amp;D&amp;T</oddFooter>
  </headerFooter>
  <rowBreaks count="1" manualBreakCount="1">
    <brk id="3" max="20" man="1"/>
  </rowBreaks>
  <colBreaks count="1" manualBreakCount="1">
    <brk id="1" max="929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2EF67-30BF-4CBB-BF69-666095970C55}">
  <dimension ref="A1:M28"/>
  <sheetViews>
    <sheetView view="pageBreakPreview" zoomScale="60" zoomScaleNormal="70" workbookViewId="0">
      <selection activeCell="E20" sqref="E20:E25"/>
    </sheetView>
  </sheetViews>
  <sheetFormatPr defaultColWidth="8" defaultRowHeight="14.4"/>
  <cols>
    <col min="1" max="1" width="3.109375" customWidth="1"/>
    <col min="2" max="2" width="13.21875" customWidth="1"/>
    <col min="3" max="3" width="9.44140625" customWidth="1"/>
    <col min="4" max="4" width="10.6640625" customWidth="1"/>
    <col min="5" max="5" width="13.44140625" customWidth="1"/>
    <col min="6" max="6" width="32.77734375" customWidth="1"/>
    <col min="7" max="7" width="14" customWidth="1"/>
    <col min="8" max="8" width="7.77734375" customWidth="1"/>
    <col min="9" max="9" width="8.88671875" customWidth="1"/>
    <col min="11" max="11" width="21.5546875" customWidth="1"/>
    <col min="12" max="12" width="16.6640625" customWidth="1"/>
    <col min="13" max="13" width="14.109375" customWidth="1"/>
  </cols>
  <sheetData>
    <row r="1" spans="1:13" ht="33.9" customHeight="1">
      <c r="A1" s="146" t="s">
        <v>194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</row>
    <row r="2" spans="1:13" ht="20.399999999999999" customHeight="1">
      <c r="A2" s="146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</row>
    <row r="3" spans="1:13" ht="16.8" customHeight="1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</row>
    <row r="4" spans="1:13" ht="27.9" customHeight="1">
      <c r="A4" s="146" t="s">
        <v>193</v>
      </c>
      <c r="B4" s="146"/>
      <c r="C4" s="146"/>
      <c r="D4" s="146"/>
      <c r="E4" t="s">
        <v>102</v>
      </c>
      <c r="G4" t="s">
        <v>192</v>
      </c>
      <c r="H4" s="146" t="s">
        <v>191</v>
      </c>
      <c r="I4" s="146"/>
      <c r="J4" s="146"/>
      <c r="K4" s="146"/>
      <c r="L4" s="146"/>
      <c r="M4" s="146"/>
    </row>
    <row r="5" spans="1:13" ht="27.9" customHeight="1" thickBot="1">
      <c r="A5" s="146" t="s">
        <v>190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</row>
    <row r="6" spans="1:13" ht="45" customHeight="1" thickBot="1">
      <c r="A6" s="146" t="s">
        <v>189</v>
      </c>
      <c r="B6" s="146"/>
      <c r="C6" s="146"/>
      <c r="D6" s="146"/>
      <c r="E6" s="146" t="s">
        <v>188</v>
      </c>
      <c r="F6" s="146"/>
      <c r="G6" s="146"/>
      <c r="H6" s="146"/>
      <c r="I6" s="146"/>
      <c r="J6" s="146"/>
      <c r="K6" s="146"/>
      <c r="L6" s="146"/>
      <c r="M6" s="146"/>
    </row>
    <row r="7" spans="1:13" ht="15" customHeight="1">
      <c r="A7" s="146" t="s">
        <v>187</v>
      </c>
      <c r="B7" s="146"/>
      <c r="C7" s="146"/>
      <c r="D7" s="146" t="s">
        <v>186</v>
      </c>
      <c r="E7" s="146" t="s">
        <v>185</v>
      </c>
      <c r="F7" s="146" t="s">
        <v>184</v>
      </c>
      <c r="G7" s="146" t="s">
        <v>183</v>
      </c>
      <c r="H7" s="146" t="s">
        <v>182</v>
      </c>
      <c r="I7" s="146" t="s">
        <v>181</v>
      </c>
      <c r="J7" s="146" t="s">
        <v>180</v>
      </c>
      <c r="K7" s="146" t="s">
        <v>179</v>
      </c>
      <c r="L7" s="146" t="s">
        <v>178</v>
      </c>
      <c r="M7" s="146" t="s">
        <v>177</v>
      </c>
    </row>
    <row r="8" spans="1:13" ht="21" customHeight="1" thickBot="1">
      <c r="B8" t="s">
        <v>109</v>
      </c>
      <c r="C8" t="s">
        <v>110</v>
      </c>
      <c r="D8" s="146"/>
      <c r="E8" s="146"/>
      <c r="F8" s="146"/>
      <c r="G8" s="146"/>
      <c r="H8" s="146"/>
      <c r="I8" s="146"/>
      <c r="J8" s="146"/>
      <c r="K8" s="146"/>
      <c r="L8" s="146"/>
      <c r="M8" s="146"/>
    </row>
    <row r="9" spans="1:13" ht="49.95" customHeight="1">
      <c r="A9" s="146" t="s">
        <v>105</v>
      </c>
      <c r="B9" s="146" t="s">
        <v>176</v>
      </c>
      <c r="C9" s="146" t="s">
        <v>175</v>
      </c>
      <c r="D9" s="146">
        <v>700000</v>
      </c>
      <c r="E9" t="s">
        <v>174</v>
      </c>
      <c r="F9" t="s">
        <v>173</v>
      </c>
      <c r="G9" t="s">
        <v>155</v>
      </c>
      <c r="H9">
        <v>3</v>
      </c>
      <c r="I9" t="s">
        <v>172</v>
      </c>
      <c r="J9">
        <f t="shared" ref="J9:J18" si="0">G9*H9</f>
        <v>300000</v>
      </c>
      <c r="K9" t="s">
        <v>171</v>
      </c>
      <c r="L9" s="146">
        <f>SUM(J9:J11)</f>
        <v>570000</v>
      </c>
      <c r="M9" s="146">
        <f>D9-L9</f>
        <v>130000</v>
      </c>
    </row>
    <row r="10" spans="1:13" ht="49.95" customHeight="1">
      <c r="A10" s="146"/>
      <c r="B10" s="146"/>
      <c r="C10" s="146"/>
      <c r="D10" s="146"/>
      <c r="E10" t="s">
        <v>170</v>
      </c>
      <c r="F10" t="s">
        <v>169</v>
      </c>
      <c r="G10" t="s">
        <v>168</v>
      </c>
      <c r="H10">
        <v>30</v>
      </c>
      <c r="I10" t="s">
        <v>141</v>
      </c>
      <c r="J10">
        <f t="shared" si="0"/>
        <v>120000</v>
      </c>
      <c r="K10" t="s">
        <v>167</v>
      </c>
      <c r="L10" s="146"/>
      <c r="M10" s="146"/>
    </row>
    <row r="11" spans="1:13" ht="49.95" customHeight="1">
      <c r="A11" s="146"/>
      <c r="B11" s="146"/>
      <c r="C11" s="146"/>
      <c r="D11" s="146"/>
      <c r="E11" t="s">
        <v>133</v>
      </c>
      <c r="F11" t="s">
        <v>166</v>
      </c>
      <c r="G11" t="s">
        <v>165</v>
      </c>
      <c r="H11">
        <v>1</v>
      </c>
      <c r="I11" t="s">
        <v>141</v>
      </c>
      <c r="J11">
        <f t="shared" si="0"/>
        <v>150000</v>
      </c>
      <c r="K11" t="s">
        <v>164</v>
      </c>
      <c r="L11" s="146"/>
      <c r="M11" s="146"/>
    </row>
    <row r="12" spans="1:13" ht="49.95" customHeight="1">
      <c r="A12" s="146"/>
      <c r="B12" s="146"/>
      <c r="C12" t="s">
        <v>163</v>
      </c>
      <c r="D12">
        <v>300000</v>
      </c>
      <c r="E12" t="s">
        <v>162</v>
      </c>
      <c r="F12" t="s">
        <v>161</v>
      </c>
      <c r="G12" t="s">
        <v>160</v>
      </c>
      <c r="H12">
        <v>20</v>
      </c>
      <c r="I12" t="s">
        <v>141</v>
      </c>
      <c r="J12">
        <f t="shared" si="0"/>
        <v>60000</v>
      </c>
      <c r="K12" t="s">
        <v>159</v>
      </c>
      <c r="L12">
        <f>J12</f>
        <v>60000</v>
      </c>
      <c r="M12">
        <f>D12-L12</f>
        <v>240000</v>
      </c>
    </row>
    <row r="13" spans="1:13" ht="49.95" customHeight="1">
      <c r="A13" s="146"/>
      <c r="B13" s="146" t="s">
        <v>158</v>
      </c>
      <c r="C13" s="146"/>
      <c r="D13" s="146">
        <v>900000</v>
      </c>
      <c r="E13" t="s">
        <v>157</v>
      </c>
      <c r="F13" t="s">
        <v>156</v>
      </c>
      <c r="G13" t="s">
        <v>155</v>
      </c>
      <c r="H13">
        <v>1</v>
      </c>
      <c r="I13" t="s">
        <v>119</v>
      </c>
      <c r="J13">
        <f t="shared" si="0"/>
        <v>100000</v>
      </c>
      <c r="K13" t="s">
        <v>154</v>
      </c>
      <c r="L13" s="146">
        <f>SUM(J13:J17)</f>
        <v>798500</v>
      </c>
      <c r="M13" s="146">
        <f>D13-L13</f>
        <v>101500</v>
      </c>
    </row>
    <row r="14" spans="1:13" ht="49.95" customHeight="1">
      <c r="A14" s="146"/>
      <c r="B14" s="146"/>
      <c r="C14" s="146"/>
      <c r="D14" s="146"/>
      <c r="E14" t="s">
        <v>147</v>
      </c>
      <c r="F14" t="s">
        <v>153</v>
      </c>
      <c r="G14" t="s">
        <v>152</v>
      </c>
      <c r="H14">
        <v>1</v>
      </c>
      <c r="I14" t="s">
        <v>119</v>
      </c>
      <c r="J14">
        <f t="shared" si="0"/>
        <v>450000</v>
      </c>
      <c r="K14" t="s">
        <v>151</v>
      </c>
      <c r="L14" s="146"/>
      <c r="M14" s="146"/>
    </row>
    <row r="15" spans="1:13" ht="49.95" customHeight="1">
      <c r="A15" s="146"/>
      <c r="B15" s="146"/>
      <c r="C15" s="146"/>
      <c r="D15" s="146"/>
      <c r="E15" t="s">
        <v>147</v>
      </c>
      <c r="F15" t="s">
        <v>150</v>
      </c>
      <c r="G15" t="s">
        <v>149</v>
      </c>
      <c r="H15">
        <v>1</v>
      </c>
      <c r="I15" t="s">
        <v>119</v>
      </c>
      <c r="J15">
        <f t="shared" si="0"/>
        <v>18500</v>
      </c>
      <c r="K15" t="s">
        <v>148</v>
      </c>
      <c r="L15" s="146"/>
      <c r="M15" s="146"/>
    </row>
    <row r="16" spans="1:13" ht="49.95" customHeight="1">
      <c r="A16" s="146"/>
      <c r="B16" s="146"/>
      <c r="C16" s="146"/>
      <c r="D16" s="146"/>
      <c r="E16" t="s">
        <v>147</v>
      </c>
      <c r="F16" t="s">
        <v>146</v>
      </c>
      <c r="G16" t="s">
        <v>145</v>
      </c>
      <c r="H16">
        <v>100</v>
      </c>
      <c r="I16" t="s">
        <v>141</v>
      </c>
      <c r="J16">
        <f t="shared" si="0"/>
        <v>200000</v>
      </c>
      <c r="L16" s="146"/>
      <c r="M16" s="146"/>
    </row>
    <row r="17" spans="1:13" ht="49.95" customHeight="1">
      <c r="A17" s="146"/>
      <c r="B17" s="146"/>
      <c r="C17" s="146"/>
      <c r="D17" s="146"/>
      <c r="E17" t="s">
        <v>144</v>
      </c>
      <c r="F17" t="s">
        <v>143</v>
      </c>
      <c r="G17" t="s">
        <v>142</v>
      </c>
      <c r="H17">
        <v>3</v>
      </c>
      <c r="I17" t="s">
        <v>141</v>
      </c>
      <c r="J17">
        <f t="shared" si="0"/>
        <v>30000</v>
      </c>
      <c r="K17" t="s">
        <v>140</v>
      </c>
      <c r="L17" s="146"/>
      <c r="M17" s="146"/>
    </row>
    <row r="18" spans="1:13" ht="49.95" customHeight="1" thickBot="1">
      <c r="A18" s="146"/>
      <c r="B18" s="146" t="s">
        <v>139</v>
      </c>
      <c r="C18" s="146"/>
      <c r="D18">
        <v>80000</v>
      </c>
      <c r="E18" t="s">
        <v>138</v>
      </c>
      <c r="F18" t="s">
        <v>137</v>
      </c>
      <c r="G18" t="s">
        <v>136</v>
      </c>
      <c r="H18">
        <v>1</v>
      </c>
      <c r="I18" t="s">
        <v>119</v>
      </c>
      <c r="J18">
        <f t="shared" si="0"/>
        <v>80000</v>
      </c>
      <c r="K18" t="s">
        <v>135</v>
      </c>
      <c r="L18">
        <f>J18</f>
        <v>80000</v>
      </c>
      <c r="M18">
        <f>D18-L18</f>
        <v>0</v>
      </c>
    </row>
    <row r="19" spans="1:13" ht="16.2" customHeight="1" thickBot="1">
      <c r="A19" s="146" t="s">
        <v>134</v>
      </c>
      <c r="B19" s="146"/>
      <c r="C19" s="146"/>
      <c r="D19">
        <f>SUM(D7:D18)</f>
        <v>1980000</v>
      </c>
      <c r="E19" s="146" t="s">
        <v>134</v>
      </c>
      <c r="F19" s="146"/>
      <c r="G19" s="146"/>
      <c r="H19" s="146"/>
      <c r="I19" s="146"/>
      <c r="J19" s="146"/>
      <c r="K19" s="146"/>
      <c r="L19">
        <f>SUM(L9:L18)</f>
        <v>1508500</v>
      </c>
      <c r="M19">
        <f>D19-L19</f>
        <v>471500</v>
      </c>
    </row>
    <row r="20" spans="1:13" ht="35.4" customHeight="1">
      <c r="A20" s="146" t="s">
        <v>111</v>
      </c>
      <c r="B20" s="146"/>
      <c r="C20" s="146"/>
      <c r="D20" s="146">
        <v>200000</v>
      </c>
      <c r="E20" t="s">
        <v>133</v>
      </c>
      <c r="F20" t="s">
        <v>125</v>
      </c>
      <c r="G20">
        <v>500</v>
      </c>
      <c r="H20">
        <v>1</v>
      </c>
      <c r="I20" t="s">
        <v>119</v>
      </c>
      <c r="J20">
        <f t="shared" ref="J20:J25" si="1">G20*H20</f>
        <v>500</v>
      </c>
      <c r="K20" t="s">
        <v>124</v>
      </c>
      <c r="L20" s="146">
        <f>SUM(J20:J25)</f>
        <v>200000</v>
      </c>
      <c r="M20" s="146">
        <f>D20-L20</f>
        <v>0</v>
      </c>
    </row>
    <row r="21" spans="1:13" ht="35.4" customHeight="1">
      <c r="A21" s="146"/>
      <c r="B21" s="146"/>
      <c r="C21" s="146"/>
      <c r="D21" s="146"/>
      <c r="E21" t="s">
        <v>132</v>
      </c>
      <c r="F21" t="s">
        <v>131</v>
      </c>
      <c r="G21">
        <v>40000</v>
      </c>
      <c r="H21">
        <v>1</v>
      </c>
      <c r="I21" t="s">
        <v>119</v>
      </c>
      <c r="J21">
        <f t="shared" si="1"/>
        <v>40000</v>
      </c>
      <c r="K21" t="s">
        <v>122</v>
      </c>
      <c r="L21" s="146"/>
      <c r="M21" s="146"/>
    </row>
    <row r="22" spans="1:13" ht="35.4" customHeight="1">
      <c r="A22" s="146"/>
      <c r="B22" s="146"/>
      <c r="C22" s="146"/>
      <c r="D22" s="146"/>
      <c r="E22" t="s">
        <v>130</v>
      </c>
      <c r="F22" t="s">
        <v>129</v>
      </c>
      <c r="G22">
        <v>99000</v>
      </c>
      <c r="H22">
        <v>1</v>
      </c>
      <c r="I22" t="s">
        <v>128</v>
      </c>
      <c r="J22">
        <f t="shared" si="1"/>
        <v>99000</v>
      </c>
      <c r="K22" t="s">
        <v>127</v>
      </c>
      <c r="L22" s="146"/>
      <c r="M22" s="146"/>
    </row>
    <row r="23" spans="1:13" ht="35.4" customHeight="1">
      <c r="A23" s="146"/>
      <c r="B23" s="146"/>
      <c r="C23" s="146"/>
      <c r="D23" s="146"/>
      <c r="E23" t="s">
        <v>126</v>
      </c>
      <c r="F23" t="s">
        <v>125</v>
      </c>
      <c r="G23">
        <v>500</v>
      </c>
      <c r="H23">
        <v>1</v>
      </c>
      <c r="I23" t="s">
        <v>119</v>
      </c>
      <c r="J23">
        <f t="shared" si="1"/>
        <v>500</v>
      </c>
      <c r="K23" t="s">
        <v>124</v>
      </c>
      <c r="L23" s="146"/>
      <c r="M23" s="146"/>
    </row>
    <row r="24" spans="1:13" ht="36" customHeight="1">
      <c r="A24" s="146"/>
      <c r="B24" s="146"/>
      <c r="C24" s="146"/>
      <c r="D24" s="146"/>
      <c r="E24" t="s">
        <v>121</v>
      </c>
      <c r="F24" t="s">
        <v>123</v>
      </c>
      <c r="G24">
        <v>35000</v>
      </c>
      <c r="H24">
        <v>1</v>
      </c>
      <c r="I24" t="s">
        <v>119</v>
      </c>
      <c r="J24">
        <f t="shared" si="1"/>
        <v>35000</v>
      </c>
      <c r="K24" t="s">
        <v>122</v>
      </c>
      <c r="L24" s="146"/>
      <c r="M24" s="146"/>
    </row>
    <row r="25" spans="1:13" ht="36" customHeight="1" thickBot="1">
      <c r="A25" s="146"/>
      <c r="B25" s="146"/>
      <c r="C25" s="146"/>
      <c r="D25" s="146"/>
      <c r="E25" t="s">
        <v>121</v>
      </c>
      <c r="F25" t="s">
        <v>120</v>
      </c>
      <c r="G25">
        <v>25000</v>
      </c>
      <c r="H25">
        <v>1</v>
      </c>
      <c r="I25" t="s">
        <v>119</v>
      </c>
      <c r="J25">
        <f t="shared" si="1"/>
        <v>25000</v>
      </c>
      <c r="K25" t="s">
        <v>118</v>
      </c>
      <c r="L25" s="146"/>
      <c r="M25" s="146"/>
    </row>
    <row r="26" spans="1:13" ht="24" customHeight="1" thickBot="1">
      <c r="A26" s="146" t="s">
        <v>117</v>
      </c>
      <c r="B26" s="146"/>
      <c r="C26" s="146"/>
      <c r="D26">
        <f>SUM(D9:D24)-D19</f>
        <v>2180000</v>
      </c>
      <c r="E26" s="146" t="s">
        <v>116</v>
      </c>
      <c r="F26" s="146"/>
      <c r="G26" s="146"/>
      <c r="H26" s="146"/>
      <c r="I26" s="146"/>
      <c r="J26" s="146"/>
      <c r="K26" s="146"/>
      <c r="L26">
        <f>SUM(L20,L19)</f>
        <v>1708500</v>
      </c>
      <c r="M26">
        <f>D26-L26</f>
        <v>471500</v>
      </c>
    </row>
    <row r="27" spans="1:13" ht="41.4" customHeight="1" thickBot="1">
      <c r="A27" s="146" t="s">
        <v>115</v>
      </c>
      <c r="B27" s="146"/>
      <c r="C27" s="146"/>
      <c r="D27">
        <v>2300</v>
      </c>
      <c r="E27" s="146"/>
      <c r="F27" s="146"/>
      <c r="G27" s="146"/>
      <c r="H27" s="146"/>
      <c r="I27" s="146"/>
      <c r="J27" s="146"/>
      <c r="K27" s="146"/>
      <c r="L27" t="s">
        <v>114</v>
      </c>
      <c r="M27">
        <f>M26+D27</f>
        <v>473800</v>
      </c>
    </row>
    <row r="28" spans="1:13" ht="233.4" customHeight="1" thickBot="1">
      <c r="A28" s="146" t="s">
        <v>113</v>
      </c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</row>
  </sheetData>
  <autoFilter ref="E7:K8" xr:uid="{00000000-0001-0000-0000-000000000000}"/>
  <mergeCells count="40">
    <mergeCell ref="A19:C19"/>
    <mergeCell ref="E19:K19"/>
    <mergeCell ref="A28:M28"/>
    <mergeCell ref="A20:C25"/>
    <mergeCell ref="D20:D25"/>
    <mergeCell ref="L20:L25"/>
    <mergeCell ref="M20:M25"/>
    <mergeCell ref="A26:C26"/>
    <mergeCell ref="E26:K27"/>
    <mergeCell ref="A27:C27"/>
    <mergeCell ref="M9:M11"/>
    <mergeCell ref="B13:C17"/>
    <mergeCell ref="D13:D17"/>
    <mergeCell ref="L13:L17"/>
    <mergeCell ref="M13:M17"/>
    <mergeCell ref="A9:A18"/>
    <mergeCell ref="B9:B12"/>
    <mergeCell ref="C9:C11"/>
    <mergeCell ref="D9:D11"/>
    <mergeCell ref="L9:L11"/>
    <mergeCell ref="B18:C18"/>
    <mergeCell ref="A6:D6"/>
    <mergeCell ref="E6:M6"/>
    <mergeCell ref="A7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A1:M3"/>
    <mergeCell ref="A4:B4"/>
    <mergeCell ref="C4:D4"/>
    <mergeCell ref="H4:M4"/>
    <mergeCell ref="A5:B5"/>
    <mergeCell ref="C5:M5"/>
  </mergeCells>
  <pageMargins left="0.39370078740157483" right="0.39370078740157483" top="0.39370078740157483" bottom="0.39370078740157483" header="0.31496062992125984" footer="0.31496062992125984"/>
  <pageSetup paperSize="9" scale="50" orientation="portrait" r:id="rId1"/>
  <headerFooter>
    <oddFooter>&amp;N페이지 중 &amp;P페이지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10</vt:i4>
      </vt:variant>
    </vt:vector>
  </HeadingPairs>
  <TitlesOfParts>
    <vt:vector size="15" baseType="lpstr">
      <vt:lpstr>결과정산보고서</vt:lpstr>
      <vt:lpstr>활동비지출일별내역</vt:lpstr>
      <vt:lpstr>4.관항목정리목록 (2)</vt:lpstr>
      <vt:lpstr>정산보고서</vt:lpstr>
      <vt:lpstr>결과정산보고서 (2)</vt:lpstr>
      <vt:lpstr>결과정산보고서!Print_Area</vt:lpstr>
      <vt:lpstr>'결과정산보고서 (2)'!Print_Area</vt:lpstr>
      <vt:lpstr>활동비지출일별내역!Print_Area</vt:lpstr>
      <vt:lpstr>'4.관항목정리목록 (2)'!관</vt:lpstr>
      <vt:lpstr>'4.관항목정리목록 (2)'!목</vt:lpstr>
      <vt:lpstr>사업비</vt:lpstr>
      <vt:lpstr>'4.관항목정리목록 (2)'!수입</vt:lpstr>
      <vt:lpstr>수입</vt:lpstr>
      <vt:lpstr>우산수리교육워크숍</vt:lpstr>
      <vt:lpstr>운영비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김혜승</cp:lastModifiedBy>
  <cp:lastPrinted>2023-08-29T08:20:51Z</cp:lastPrinted>
  <dcterms:created xsi:type="dcterms:W3CDTF">2021-08-04T06:08:33Z</dcterms:created>
  <dcterms:modified xsi:type="dcterms:W3CDTF">2025-03-18T07:49:34Z</dcterms:modified>
</cp:coreProperties>
</file>