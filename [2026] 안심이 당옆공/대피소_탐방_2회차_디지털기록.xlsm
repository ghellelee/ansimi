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00_ReadMe" sheetId="1" r:id="rId4"/>
    <sheet state="visible" name="01_Field_Log" sheetId="2" r:id="rId5"/>
    <sheet state="visible" name="02_Route_Timing" sheetId="3" r:id="rId6"/>
    <sheet state="visible" name="03_Issue_Log" sheetId="4" r:id="rId7"/>
    <sheet state="visible" name="04_Scenario_Compare" sheetId="5" r:id="rId8"/>
    <sheet state="visible" name="05_Sources" sheetId="6" r:id="rId9"/>
  </sheets>
  <definedNames/>
  <calcPr/>
  <extLst>
    <ext uri="GoogleSheetsCustomDataVersion2">
      <go:sheetsCustomData xmlns:go="http://customooxmlschemas.google.com/" r:id="rId10" roundtripDataChecksum="B55kYzJU+pqiwYeHHeTyFadRFXhGUkQXTO4amWEBCNU="/>
    </ext>
  </extLst>
</workbook>
</file>

<file path=xl/sharedStrings.xml><?xml version="1.0" encoding="utf-8"?>
<sst xmlns="http://schemas.openxmlformats.org/spreadsheetml/2006/main" count="346" uniqueCount="181">
  <si>
    <t>대피소 탐방 2회차 디지털 기록 템플릿</t>
  </si>
  <si>
    <t>서울안전누리</t>
  </si>
  <si>
    <t>https://safecity.seoul.go.kr/distFclt/cfMapDs/cfMapDs.page?menuId=MENU_SSNS_000191</t>
  </si>
  <si>
    <t>사용 원칙</t>
  </si>
  <si>
    <t xml:space="preserve">현장에서는 한 관찰을 한 줄로 기록합니다. </t>
  </si>
  <si>
    <t>시나리오</t>
  </si>
  <si>
    <t>A=더 가깝지만 침수된/침수 가능성이 있는 경로, B=멀지만 침수되지 않은/안전하다고 판단되는 경로</t>
  </si>
  <si>
    <t>페르소나</t>
  </si>
  <si>
    <t>노인, 휠체어 이용자, 일반 보행자/보호자 동행 등 실제 활동에 맞게 선택합니다.</t>
  </si>
  <si>
    <t>성공/실패</t>
  </si>
  <si>
    <t>도달 가능, 조건부 성공, 도달 불가 중 하나로 기록합니다.</t>
  </si>
  <si>
    <t>문제 유형</t>
  </si>
  <si>
    <t>물리, 정보, 심리, 운영으로 1차 코딩합니다. 복합 문제는 주된 실패 원인을 우선 선택합니다.</t>
  </si>
  <si>
    <t>심각도</t>
  </si>
  <si>
    <t>1=불편, 2=지연, 3=도움 필요, 4=우회 필요, 5=도달 불가/위험</t>
  </si>
  <si>
    <t>현장 후 처리</t>
  </si>
  <si>
    <t>Issue_Log를 기준으로 지도 마커를 만들고, Scenario_Compare에서 A/B와 페르소나별 차이를 요약합니다.</t>
  </si>
  <si>
    <t>주의</t>
  </si>
  <si>
    <t>AI 합성 이미지나 침수 흔적도는 설명용 시각화로 표시하고 실제 현장 관찰/공공데이터와 구분합니다.</t>
  </si>
  <si>
    <t>record_id</t>
  </si>
  <si>
    <t>date</t>
  </si>
  <si>
    <t>team</t>
  </si>
  <si>
    <t>place_candidate</t>
  </si>
  <si>
    <t>shelter_type</t>
  </si>
  <si>
    <t>scenario</t>
  </si>
  <si>
    <t>persona</t>
  </si>
  <si>
    <t>route_name</t>
  </si>
  <si>
    <t>result</t>
  </si>
  <si>
    <t>total_time_min</t>
  </si>
  <si>
    <t>stop_count</t>
  </si>
  <si>
    <t>risk_count</t>
  </si>
  <si>
    <t>detour_count</t>
  </si>
  <si>
    <t>key_pain_point</t>
  </si>
  <si>
    <t>evidence_summary</t>
  </si>
  <si>
    <t>next_interview_question</t>
  </si>
  <si>
    <t>FL-01</t>
  </si>
  <si>
    <t>안심이</t>
  </si>
  <si>
    <t>남사초등학교 인근</t>
  </si>
  <si>
    <t>수해</t>
  </si>
  <si>
    <t>A</t>
  </si>
  <si>
    <t>유아 동반 가족</t>
  </si>
  <si>
    <t>조건부 성공</t>
  </si>
  <si>
    <t>앱 (대피소 찾기 어려움), 위치 반영 지연, 침수로 인한 경로 재설정, 지도 길 보기 어려움</t>
  </si>
  <si>
    <t>B</t>
  </si>
  <si>
    <t>FL-02</t>
  </si>
  <si>
    <t>반려동물 보호자</t>
  </si>
  <si>
    <t>배변 활동, 다른 개 경계</t>
  </si>
  <si>
    <t>FL-03</t>
  </si>
  <si>
    <t>휠체어 이용자</t>
  </si>
  <si>
    <t>교회로 대피하려 했으나 인원 과다로 남사초로 대피</t>
  </si>
  <si>
    <t>timing_id</t>
  </si>
  <si>
    <t>segment_no</t>
  </si>
  <si>
    <t>segment_from</t>
  </si>
  <si>
    <t>segment_to</t>
  </si>
  <si>
    <t>start_time</t>
  </si>
  <si>
    <t>end_time</t>
  </si>
  <si>
    <t>duration_min</t>
  </si>
  <si>
    <t>delay_reason</t>
  </si>
  <si>
    <t>detour_used</t>
  </si>
  <si>
    <t>photo_id</t>
  </si>
  <si>
    <t>notes</t>
  </si>
  <si>
    <t>RT-01</t>
  </si>
  <si>
    <t>서울남사초등학교</t>
  </si>
  <si>
    <t>현진빌딩(구 아르테스웨딩홀) 지하주차장 3~5층 대피소</t>
  </si>
  <si>
    <t>N</t>
  </si>
  <si>
    <t>앱 (대피소 찾기 어려움), 위치 반영 지연</t>
  </si>
  <si>
    <t>RT-02</t>
  </si>
  <si>
    <t>골목</t>
  </si>
  <si>
    <t>침수로 인한 경로 재설정</t>
  </si>
  <si>
    <t>Y</t>
  </si>
  <si>
    <t>지도 길 보기 어려움</t>
  </si>
  <si>
    <t>RT-03</t>
  </si>
  <si>
    <t>RT-04</t>
  </si>
  <si>
    <t>까치상상어린이공원</t>
  </si>
  <si>
    <t>사당역</t>
  </si>
  <si>
    <t>RT-05</t>
  </si>
  <si>
    <t>issue_id</t>
  </si>
  <si>
    <t>route_segment</t>
  </si>
  <si>
    <t>location_marker</t>
  </si>
  <si>
    <t>lat</t>
  </si>
  <si>
    <t>lng</t>
  </si>
  <si>
    <t>issue_category</t>
  </si>
  <si>
    <t>issue_subtype</t>
  </si>
  <si>
    <t>severity_1_5</t>
  </si>
  <si>
    <t>status</t>
  </si>
  <si>
    <t>observed_fact</t>
  </si>
  <si>
    <t>interpretation</t>
  </si>
  <si>
    <t>detour_possible</t>
  </si>
  <si>
    <t>map_marker_id</t>
  </si>
  <si>
    <t>interview_target</t>
  </si>
  <si>
    <t>interview_question_candidate</t>
  </si>
  <si>
    <t>P01</t>
  </si>
  <si>
    <t>22 Dongjak-daero 13-gil, Dongjak District, Seoul</t>
  </si>
  <si>
    <t>정보</t>
  </si>
  <si>
    <t xml:space="preserve">서울생활안전지도' 웹사이트 사용 어떻게 하는지 몰라서 헤맴 '시설을 눌러야 하나?', '필요한 시설만 체크?' </t>
  </si>
  <si>
    <t>확인됨</t>
  </si>
  <si>
    <t>어디로 이동할지 고민, 지도 업데이트 안되어있음, 대피소 유형(민방위대피소) 혼란, 지도 회전되지 않고 방위 혼란스러움</t>
  </si>
  <si>
    <t>P02</t>
  </si>
  <si>
    <t>23 Dongjak-daero 13-gil, Dongjak District, Seoul</t>
  </si>
  <si>
    <t>심리</t>
  </si>
  <si>
    <t>아이들 안심시키기</t>
  </si>
  <si>
    <t>P03</t>
  </si>
  <si>
    <t>24 Dongjak-daero 13-gil, Dongjak District, Seoul</t>
  </si>
  <si>
    <t>물리</t>
  </si>
  <si>
    <t>찻길 아닌 곳으로 지도, 평지임에도 아이들 보폭에 맞춰서 걸음</t>
  </si>
  <si>
    <t>P04</t>
  </si>
  <si>
    <t>1008-22번지 Sadang-dong, Dongjak District, Seoul</t>
  </si>
  <si>
    <t>사인(대피소 표식)이 없음, 엘리베이터 탈지 계단으로 갈지 고민</t>
  </si>
  <si>
    <t>지하주차장으로 가는 것인지 고민, 정문 야간 시인성 우려, 가족이 많아서 엘리베이터로 결정, 대피소는 지하3층~5층인데 엘리베이터는 지하 1층까지만 운행</t>
  </si>
  <si>
    <t>P05</t>
  </si>
  <si>
    <t>아이들 간식 주며 챙기기</t>
  </si>
  <si>
    <t>가방 잔뜩</t>
  </si>
  <si>
    <t>P06</t>
  </si>
  <si>
    <t>파이프 노출, 식수 및 화장실 위치 파악 못 함, 관리자 알 수 없음</t>
  </si>
  <si>
    <t>주차장 도착 후 적당한 곳에 서있을 것으로 생각</t>
  </si>
  <si>
    <t>P07</t>
  </si>
  <si>
    <t>아이 안고 이동하여 부담 상승</t>
  </si>
  <si>
    <t>아이를 안고 앱을 보면서 이동, 몸으로 문 열기, 다급해도 속도를 낼 수 없음</t>
  </si>
  <si>
    <t>P08</t>
  </si>
  <si>
    <t>서울생활안전지도' 웹사이트에서 지도 회전이 안되고 방위 확인이 어려워 주변 환경으로 방위 확인하면서 이동</t>
  </si>
  <si>
    <t>가까운 길을 침수 때문에 선택할 수 없었음, 현재 위치가 표시되지 않아 방향이 맞는지 혼란스러움, 경로 반 쯤 가서 침수 확인, 큰 길로 우회</t>
  </si>
  <si>
    <t>P09</t>
  </si>
  <si>
    <t>지도 확인이 어려워서 중간에 아이를 내리게 함</t>
  </si>
  <si>
    <t>P10</t>
  </si>
  <si>
    <t>아이 심리 달래기</t>
  </si>
  <si>
    <t>편의점 침수가 되지 않았다면 들러서 장난감, 과자를 살 듯</t>
  </si>
  <si>
    <t>P11</t>
  </si>
  <si>
    <t>침수가 된 구간은 아이를 안고, 그렇지 않은 구간은 아이 손을 잡고 이동</t>
  </si>
  <si>
    <t>P12</t>
  </si>
  <si>
    <t>1028-1 Sadang-dong, Dongjak District, Seoul</t>
  </si>
  <si>
    <t>장기 체류 고려(지하철, 학교, 아파트 옥상 등), 안전24/카카오지도(내비게이션) '대피소' 검색/네이버지도 '지하철' 확인</t>
  </si>
  <si>
    <t>재난 발생 전 평소에 미리 답사, 학교와 아파트 옥상은 반려견 동반 불가</t>
  </si>
  <si>
    <t>P13</t>
  </si>
  <si>
    <t>대피소까지 이동가방에서 반려견을 꺼내 목줄을 하고 같이 걸어야 함</t>
  </si>
  <si>
    <t>대피소 가기 전 배변활동을 위해 반려견 잠시 내려놓음, 중간중간 냄새 맡기, 배변 활동으로 멈춤</t>
  </si>
  <si>
    <t>P14</t>
  </si>
  <si>
    <t>다른 동물 회피</t>
  </si>
  <si>
    <t>다른 개에게 물린 트라우마가 있어 격리 필요, 다른 반려견이 보이지 않게 안아들음</t>
  </si>
  <si>
    <t>P15</t>
  </si>
  <si>
    <t>1026-32 Sadang-dong, Dongjak District, Seoul</t>
  </si>
  <si>
    <t>도착 후 안내판 찾음, 화장실 이동</t>
  </si>
  <si>
    <t>P16</t>
  </si>
  <si>
    <t>공원 앞 길에 턱이 있어 조심</t>
  </si>
  <si>
    <t>P17</t>
  </si>
  <si>
    <t>교회 이동 중 대피하는 시나리오였으나 교회가 포화되어 대피소 변경</t>
  </si>
  <si>
    <t>목적지 변경되어 대각선 길에서 지도 확인</t>
  </si>
  <si>
    <t>P18</t>
  </si>
  <si>
    <t>인도가 없음</t>
  </si>
  <si>
    <t>교차로 골목 끝 마트 앞길에서 오가는 차량 회피, 교차로가 우리를 못 볼까봐 걱정됨, 인도로 진입</t>
  </si>
  <si>
    <t>P19</t>
  </si>
  <si>
    <t>학교 정문이 어디인지 몰라서 후문으로 이동</t>
  </si>
  <si>
    <t>P20</t>
  </si>
  <si>
    <t>학교 도착 후 대피 장소인 것 확인했으나 개방 여부 확인 못 함</t>
  </si>
  <si>
    <t>distance_or_route_note</t>
  </si>
  <si>
    <t>top_failure_point</t>
  </si>
  <si>
    <t>main_issue_category</t>
  </si>
  <si>
    <t>decision_memo</t>
  </si>
  <si>
    <t>topic</t>
  </si>
  <si>
    <t>source_name</t>
  </si>
  <si>
    <t>url</t>
  </si>
  <si>
    <t>note</t>
  </si>
  <si>
    <t>checked_date</t>
  </si>
  <si>
    <t>대피소/안전지도</t>
  </si>
  <si>
    <t>https://safecity.seoul.go.kr/</t>
  </si>
  <si>
    <t>서울시 안전정보지도 및 대피소 찾기</t>
  </si>
  <si>
    <t>민방위 대피소 찾기</t>
  </si>
  <si>
    <t>서울특별시 안전 안내</t>
  </si>
  <si>
    <t>https://news.seoul.go.kr/safe/archives/512222</t>
  </si>
  <si>
    <t>안전디딤돌/국민재난안전포털/서울안전누리에서 대피소 확인 가능</t>
  </si>
  <si>
    <t>침수/수해대피소 공간정보</t>
  </si>
  <si>
    <t>서울 열린데이터광장</t>
  </si>
  <si>
    <t>https://data.seoul.go.kr/dataList/OA-21181/F/1/datasetView.do</t>
  </si>
  <si>
    <t>수해대피소 공간정보 참고. 법적 효력 없음 문구 확인 필요</t>
  </si>
  <si>
    <t>관악구 휠체어 대여</t>
  </si>
  <si>
    <t>관악구청 수동휠체어 무료 대여서비스</t>
  </si>
  <si>
    <t>https://www.gwanak.go.kr/site/gwanak/05/10507070200002018120609.jsp</t>
  </si>
  <si>
    <t>동주민센터별 보유 대수와 연락처</t>
  </si>
  <si>
    <t>서울시보조기기센터</t>
  </si>
  <si>
    <t>서울시보조기기센터 보조기기 대여</t>
  </si>
  <si>
    <t>https://seoulats.or.kr/bbs/board.php?bo_table=0103</t>
  </si>
  <si>
    <t>1일~1년 대여 안내. 센터별 품목/재고 확인 필요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</si>
</sst>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7">
    <font>
      <sz val="11.0"/>
      <color rgb="FF000000"/>
      <name val="Carlito"/>
      <scheme val="minor"/>
    </font>
    <font>
      <b/>
      <sz val="14.0"/>
      <color rgb="FFFFFFFF"/>
      <name val="Carlito"/>
    </font>
    <font>
      <color theme="1"/>
      <name val="Carlito"/>
      <scheme val="minor"/>
    </font>
    <font>
      <u/>
      <color rgb="FF0000FF"/>
    </font>
    <font>
      <b/>
      <sz val="11.0"/>
      <color rgb="FF111827"/>
      <name val="Carlito"/>
    </font>
    <font>
      <sz val="11.0"/>
      <color theme="1"/>
      <name val="Carlito"/>
    </font>
    <font>
      <b/>
      <sz val="11.0"/>
      <color rgb="FFFFFFFF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11827"/>
        <bgColor rgb="FF111827"/>
      </patternFill>
    </fill>
    <fill>
      <patternFill patternType="solid">
        <fgColor rgb="FFE5E7EB"/>
        <bgColor rgb="FFE5E7EB"/>
      </patternFill>
    </fill>
    <fill>
      <patternFill patternType="solid">
        <fgColor rgb="FF1F2937"/>
        <bgColor rgb="FF1F2937"/>
      </patternFill>
    </fill>
  </fills>
  <borders count="1">
    <border/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/>
    </xf>
    <xf borderId="0" fillId="0" fontId="2" numFmtId="0" xfId="0" applyAlignment="1" applyFont="1">
      <alignment readingOrder="0"/>
    </xf>
    <xf borderId="0" fillId="0" fontId="3" numFmtId="0" xfId="0" applyAlignment="1" applyFont="1">
      <alignment readingOrder="0"/>
    </xf>
    <xf borderId="0" fillId="3" fontId="4" numFmtId="0" xfId="0" applyAlignment="1" applyFill="1" applyFont="1">
      <alignment shrinkToFit="0" wrapText="1"/>
    </xf>
    <xf borderId="0" fillId="0" fontId="5" numFmtId="0" xfId="0" applyAlignment="1" applyFont="1">
      <alignment readingOrder="0" shrinkToFit="0" vertical="top" wrapText="1"/>
    </xf>
    <xf borderId="0" fillId="0" fontId="5" numFmtId="0" xfId="0" applyAlignment="1" applyFont="1">
      <alignment shrinkToFit="0" vertical="top" wrapText="1"/>
    </xf>
    <xf borderId="0" fillId="4" fontId="6" numFmtId="0" xfId="0" applyAlignment="1" applyFill="1" applyFont="1">
      <alignment horizontal="center" shrinkToFit="0" vertical="center" wrapText="1"/>
    </xf>
    <xf borderId="0" fillId="0" fontId="5" numFmtId="0" xfId="0" applyAlignment="1" applyFont="1">
      <alignment shrinkToFit="0" wrapText="1"/>
    </xf>
    <xf borderId="0" fillId="0" fontId="5" numFmtId="0" xfId="0" applyAlignment="1" applyFont="1">
      <alignment shrinkToFit="0" vertical="top" wrapText="1"/>
    </xf>
    <xf borderId="0" fillId="0" fontId="5" numFmtId="164" xfId="0" applyAlignment="1" applyFont="1" applyNumberFormat="1">
      <alignment readingOrder="0" shrinkToFit="0" vertical="top" wrapText="1"/>
    </xf>
    <xf borderId="0" fillId="0" fontId="5" numFmtId="0" xfId="0" applyAlignment="1" applyFont="1">
      <alignment readingOrder="0" shrinkToFit="0" vertical="top" wrapText="1"/>
    </xf>
    <xf borderId="0" fillId="0" fontId="5" numFmtId="0" xfId="0" applyAlignment="1" applyFont="1">
      <alignment shrinkToFit="0" vertical="top" wrapText="1"/>
    </xf>
    <xf borderId="0" fillId="0" fontId="5" numFmtId="20" xfId="0" applyAlignment="1" applyFont="1" applyNumberFormat="1">
      <alignment readingOrder="0" shrinkToFit="0" vertical="top" wrapText="1"/>
    </xf>
    <xf quotePrefix="1" borderId="0" fillId="0" fontId="5" numFmtId="0" xfId="0" applyAlignment="1" applyFont="1">
      <alignment readingOrder="0" shrinkToFit="0" vertical="top" wrapText="1"/>
    </xf>
    <xf borderId="0" fillId="0" fontId="5" numFmtId="164" xfId="0" applyAlignment="1" applyFont="1" applyNumberFormat="1">
      <alignment shrinkToFit="0" vertical="top" wrapText="1"/>
    </xf>
    <xf borderId="0" fillId="0" fontId="5" numFmtId="164" xfId="0" applyFont="1" applyNumberFormat="1"/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991B1B"/>
      </font>
      <fill>
        <patternFill patternType="solid">
          <fgColor rgb="FFFEE2E2"/>
          <bgColor rgb="FFFEE2E2"/>
        </patternFill>
      </fill>
      <border/>
    </dxf>
  </dxfs>
  <tableStyles count="5">
    <tableStyle count="3" pivot="0" name="01_Field_Log-style">
      <tableStyleElement dxfId="1" type="headerRow"/>
      <tableStyleElement dxfId="2" type="firstRowStripe"/>
      <tableStyleElement dxfId="3" type="secondRowStripe"/>
    </tableStyle>
    <tableStyle count="3" pivot="0" name="02_Route_Timing-style">
      <tableStyleElement dxfId="1" type="headerRow"/>
      <tableStyleElement dxfId="2" type="firstRowStripe"/>
      <tableStyleElement dxfId="3" type="secondRowStripe"/>
    </tableStyle>
    <tableStyle count="3" pivot="0" name="03_Issue_Log-style">
      <tableStyleElement dxfId="1" type="headerRow"/>
      <tableStyleElement dxfId="2" type="firstRowStripe"/>
      <tableStyleElement dxfId="3" type="secondRowStripe"/>
    </tableStyle>
    <tableStyle count="3" pivot="0" name="04_Scenario_Compare-style">
      <tableStyleElement dxfId="1" type="headerRow"/>
      <tableStyleElement dxfId="2" type="firstRowStripe"/>
      <tableStyleElement dxfId="3" type="secondRowStripe"/>
    </tableStyle>
    <tableStyle count="3" pivot="0" name="05_Source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A1:Q5" displayName="Table_1" name="Table_1" id="1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01_Field_Log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ref="A1:N6" displayName="Table_2" name="Table_2" id="2">
  <tableColumns count="14">
    <tableColumn name="timing_id" id="1"/>
    <tableColumn name="scenario" id="2"/>
    <tableColumn name="persona" id="3"/>
    <tableColumn name="route_name" id="4"/>
    <tableColumn name="segment_no" id="5"/>
    <tableColumn name="segment_from" id="6"/>
    <tableColumn name="segment_to" id="7"/>
    <tableColumn name="start_time" id="8"/>
    <tableColumn name="end_time" id="9"/>
    <tableColumn name="duration_min" id="10"/>
    <tableColumn name="delay_reason" id="11"/>
    <tableColumn name="detour_used" id="12"/>
    <tableColumn name="photo_id" id="13"/>
    <tableColumn name="notes" id="14"/>
  </tableColumns>
  <tableStyleInfo name="02_Route_Timing-style" showColumnStripes="0" showFirstColumn="1" showLastColumn="1" showRowStripes="1"/>
</table>
</file>

<file path=xl/tables/table3.xml><?xml version="1.0" encoding="utf-8"?>
<table xmlns="http://schemas.openxmlformats.org/spreadsheetml/2006/main" ref="A1:R21" displayName="Table_3" name="Table_3" id="3">
  <tableColumns count="18">
    <tableColumn name="issue_id" id="1"/>
    <tableColumn name="scenario" id="2"/>
    <tableColumn name="persona" id="3"/>
    <tableColumn name="route_segment" id="4"/>
    <tableColumn name="location_marker" id="5"/>
    <tableColumn name="lat" id="6"/>
    <tableColumn name="lng" id="7"/>
    <tableColumn name="issue_category" id="8"/>
    <tableColumn name="issue_subtype" id="9"/>
    <tableColumn name="severity_1_5" id="10"/>
    <tableColumn name="status" id="11"/>
    <tableColumn name="observed_fact" id="12"/>
    <tableColumn name="interpretation" id="13"/>
    <tableColumn name="detour_possible" id="14"/>
    <tableColumn name="photo_id" id="15"/>
    <tableColumn name="map_marker_id" id="16"/>
    <tableColumn name="interview_target" id="17"/>
    <tableColumn name="interview_question_candidate" id="18"/>
  </tableColumns>
  <tableStyleInfo name="03_Issue_Log-style" showColumnStripes="0" showFirstColumn="1" showLastColumn="1" showRowStripes="1"/>
</table>
</file>

<file path=xl/tables/table4.xml><?xml version="1.0" encoding="utf-8"?>
<table xmlns="http://schemas.openxmlformats.org/spreadsheetml/2006/main" ref="A1:L5" displayName="Table_4" name="Table_4" id="4">
  <tableColumns count="12">
    <tableColumn name="scenario" id="1"/>
    <tableColumn name="persona" id="2"/>
    <tableColumn name="route_name" id="3"/>
    <tableColumn name="distance_or_route_note" id="4"/>
    <tableColumn name="total_time_min" id="5"/>
    <tableColumn name="result" id="6"/>
    <tableColumn name="stop_count" id="7"/>
    <tableColumn name="risk_count" id="8"/>
    <tableColumn name="detour_count" id="9"/>
    <tableColumn name="top_failure_point" id="10"/>
    <tableColumn name="main_issue_category" id="11"/>
    <tableColumn name="decision_memo" id="12"/>
  </tableColumns>
  <tableStyleInfo name="04_Scenario_Compare-style" showColumnStripes="0" showFirstColumn="1" showLastColumn="1" showRowStripes="1"/>
</table>
</file>

<file path=xl/tables/table5.xml><?xml version="1.0" encoding="utf-8"?>
<table xmlns="http://schemas.openxmlformats.org/spreadsheetml/2006/main" ref="A1:E6" displayName="Table_5" name="Table_5" id="5">
  <tableColumns count="5">
    <tableColumn name="topic" id="1"/>
    <tableColumn name="source_name" id="2"/>
    <tableColumn name="url" id="3"/>
    <tableColumn name="note" id="4"/>
    <tableColumn name="checked_date" id="5"/>
  </tableColumns>
  <tableStyleInfo name="05_Sourc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hyperlink" Target="https://safecity.seoul.go.kr/distFclt/cfMapDs/cfMapDs.page?menuId=MENU_SSNS_000191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1.75"/>
    <col customWidth="1" min="2" max="2" width="88.13"/>
    <col customWidth="1" min="3" max="26" width="8.63"/>
  </cols>
  <sheetData>
    <row r="1">
      <c r="A1" s="1" t="s">
        <v>0</v>
      </c>
      <c r="B1" s="1"/>
      <c r="C1" s="1"/>
      <c r="D1" s="1"/>
      <c r="E1" s="1"/>
      <c r="F1" s="1"/>
    </row>
    <row r="2">
      <c r="A2" s="2" t="s">
        <v>1</v>
      </c>
      <c r="B2" s="3" t="s">
        <v>2</v>
      </c>
    </row>
    <row r="3">
      <c r="A3" s="4" t="s">
        <v>3</v>
      </c>
      <c r="B3" s="5" t="s">
        <v>4</v>
      </c>
    </row>
    <row r="4">
      <c r="A4" s="4" t="s">
        <v>5</v>
      </c>
      <c r="B4" s="6" t="s">
        <v>6</v>
      </c>
    </row>
    <row r="5">
      <c r="A5" s="4" t="s">
        <v>7</v>
      </c>
      <c r="B5" s="6" t="s">
        <v>8</v>
      </c>
    </row>
    <row r="6">
      <c r="A6" s="4" t="s">
        <v>9</v>
      </c>
      <c r="B6" s="6" t="s">
        <v>10</v>
      </c>
    </row>
    <row r="7">
      <c r="A7" s="4" t="s">
        <v>11</v>
      </c>
      <c r="B7" s="6" t="s">
        <v>12</v>
      </c>
    </row>
    <row r="8">
      <c r="A8" s="4" t="s">
        <v>13</v>
      </c>
      <c r="B8" s="6" t="s">
        <v>14</v>
      </c>
    </row>
    <row r="9">
      <c r="A9" s="4" t="s">
        <v>15</v>
      </c>
      <c r="B9" s="6" t="s">
        <v>16</v>
      </c>
    </row>
    <row r="10">
      <c r="A10" s="4" t="s">
        <v>17</v>
      </c>
      <c r="B10" s="6" t="s">
        <v>18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B2"/>
  </hyperlink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5"/>
    <col customWidth="1" min="2" max="2" width="6.38"/>
    <col customWidth="1" min="3" max="3" width="6.88"/>
    <col customWidth="1" min="4" max="4" width="16.13"/>
    <col customWidth="1" min="5" max="5" width="12.88"/>
    <col customWidth="1" min="6" max="6" width="9.5"/>
    <col customWidth="1" min="7" max="8" width="12.63"/>
    <col customWidth="1" min="9" max="9" width="30.5"/>
    <col customWidth="1" min="10" max="10" width="15.38"/>
    <col customWidth="1" min="11" max="11" width="11.88"/>
    <col customWidth="1" min="12" max="12" width="11.13"/>
    <col customWidth="1" min="13" max="13" width="13.75"/>
    <col customWidth="1" min="14" max="14" width="15.38"/>
    <col customWidth="1" min="15" max="15" width="18.63"/>
    <col customWidth="1" min="16" max="16" width="23.13"/>
    <col customWidth="1" min="17" max="17" width="46.38"/>
    <col customWidth="1" min="18" max="26" width="8.63"/>
  </cols>
  <sheetData>
    <row r="1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  <c r="L1" s="7" t="s">
        <v>30</v>
      </c>
      <c r="M1" s="7" t="s">
        <v>31</v>
      </c>
      <c r="N1" s="7" t="s">
        <v>32</v>
      </c>
      <c r="O1" s="7" t="s">
        <v>33</v>
      </c>
      <c r="P1" s="7" t="s">
        <v>34</v>
      </c>
      <c r="Q1" s="7"/>
      <c r="R1" s="8"/>
      <c r="S1" s="8"/>
      <c r="T1" s="8"/>
      <c r="U1" s="8"/>
      <c r="V1" s="8"/>
      <c r="W1" s="8"/>
      <c r="X1" s="8"/>
      <c r="Y1" s="8"/>
      <c r="Z1" s="8"/>
    </row>
    <row r="2">
      <c r="A2" s="9" t="s">
        <v>35</v>
      </c>
      <c r="B2" s="10">
        <v>46159.0</v>
      </c>
      <c r="C2" s="11" t="s">
        <v>36</v>
      </c>
      <c r="D2" s="9" t="s">
        <v>37</v>
      </c>
      <c r="E2" s="9" t="s">
        <v>38</v>
      </c>
      <c r="F2" s="11" t="s">
        <v>39</v>
      </c>
      <c r="G2" s="11" t="s">
        <v>40</v>
      </c>
      <c r="H2" s="11"/>
      <c r="I2" s="11" t="s">
        <v>41</v>
      </c>
      <c r="J2" s="11">
        <v>9.0</v>
      </c>
      <c r="K2" s="9"/>
      <c r="L2" s="9"/>
      <c r="M2" s="9"/>
      <c r="N2" s="11" t="s">
        <v>42</v>
      </c>
      <c r="O2" s="9"/>
      <c r="P2" s="9"/>
      <c r="Q2" s="12"/>
    </row>
    <row r="3">
      <c r="A3" s="9" t="s">
        <v>35</v>
      </c>
      <c r="B3" s="10">
        <v>46159.0</v>
      </c>
      <c r="C3" s="11" t="s">
        <v>36</v>
      </c>
      <c r="D3" s="9" t="s">
        <v>37</v>
      </c>
      <c r="E3" s="9" t="s">
        <v>38</v>
      </c>
      <c r="F3" s="11" t="s">
        <v>43</v>
      </c>
      <c r="G3" s="11" t="s">
        <v>40</v>
      </c>
      <c r="H3" s="11"/>
      <c r="I3" s="11" t="s">
        <v>41</v>
      </c>
      <c r="J3" s="11"/>
      <c r="K3" s="9"/>
      <c r="L3" s="9"/>
      <c r="M3" s="9"/>
      <c r="N3" s="11"/>
      <c r="O3" s="9"/>
      <c r="P3" s="9"/>
      <c r="Q3" s="12"/>
    </row>
    <row r="4">
      <c r="A4" s="9" t="s">
        <v>44</v>
      </c>
      <c r="B4" s="10">
        <v>46159.0</v>
      </c>
      <c r="C4" s="11" t="s">
        <v>36</v>
      </c>
      <c r="D4" s="9" t="s">
        <v>37</v>
      </c>
      <c r="E4" s="9" t="s">
        <v>38</v>
      </c>
      <c r="F4" s="11" t="s">
        <v>39</v>
      </c>
      <c r="G4" s="11" t="s">
        <v>45</v>
      </c>
      <c r="H4" s="9"/>
      <c r="I4" s="11" t="s">
        <v>41</v>
      </c>
      <c r="J4" s="11">
        <v>9.0</v>
      </c>
      <c r="K4" s="9"/>
      <c r="L4" s="9"/>
      <c r="M4" s="9"/>
      <c r="N4" s="11" t="s">
        <v>46</v>
      </c>
      <c r="O4" s="9"/>
      <c r="P4" s="9"/>
      <c r="Q4" s="12"/>
    </row>
    <row r="5">
      <c r="A5" s="9" t="s">
        <v>47</v>
      </c>
      <c r="B5" s="10">
        <v>46160.0</v>
      </c>
      <c r="C5" s="11" t="s">
        <v>36</v>
      </c>
      <c r="D5" s="9" t="s">
        <v>37</v>
      </c>
      <c r="E5" s="9" t="s">
        <v>38</v>
      </c>
      <c r="F5" s="11" t="s">
        <v>39</v>
      </c>
      <c r="G5" s="11" t="s">
        <v>48</v>
      </c>
      <c r="H5" s="9"/>
      <c r="I5" s="11" t="s">
        <v>41</v>
      </c>
      <c r="J5" s="11">
        <v>8.0</v>
      </c>
      <c r="K5" s="9"/>
      <c r="L5" s="9"/>
      <c r="M5" s="9"/>
      <c r="N5" s="11" t="s">
        <v>49</v>
      </c>
      <c r="O5" s="9"/>
      <c r="P5" s="9"/>
      <c r="Q5" s="12"/>
    </row>
  </sheetData>
  <dataValidations>
    <dataValidation type="list" allowBlank="1" sqref="G2:G5">
      <formula1>"반려동물 보호자,휠체어 이용자,일반 보행자,유아 동반 가족"</formula1>
    </dataValidation>
    <dataValidation type="list" allowBlank="1" sqref="E2:E5">
      <formula1>"민방공,수해,지진/옥외,이재민임시주거,기타"</formula1>
    </dataValidation>
    <dataValidation type="list" allowBlank="1" sqref="F2:F5">
      <formula1>"A,B"</formula1>
    </dataValidation>
    <dataValidation type="list" allowBlank="1" sqref="I2:I5">
      <formula1>"도달 가능,조건부 성공,도달 불가"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38"/>
    <col customWidth="1" min="2" max="2" width="9.5"/>
    <col customWidth="1" min="3" max="3" width="9.25"/>
    <col customWidth="1" min="4" max="4" width="12.63"/>
    <col customWidth="1" min="5" max="5" width="12.75"/>
    <col customWidth="1" min="6" max="6" width="14.63"/>
    <col customWidth="1" min="7" max="7" width="12.38"/>
    <col customWidth="1" min="8" max="8" width="11.13"/>
    <col customWidth="1" min="9" max="9" width="10.5"/>
    <col customWidth="1" min="10" max="10" width="13.75"/>
    <col customWidth="1" min="11" max="11" width="13.63"/>
    <col customWidth="1" min="12" max="12" width="13.0"/>
    <col customWidth="1" min="13" max="13" width="10.13"/>
    <col customWidth="1" min="14" max="14" width="19.63"/>
    <col customWidth="1" min="15" max="26" width="8.63"/>
  </cols>
  <sheetData>
    <row r="1">
      <c r="A1" s="7" t="s">
        <v>50</v>
      </c>
      <c r="B1" s="7" t="s">
        <v>24</v>
      </c>
      <c r="C1" s="7" t="s">
        <v>25</v>
      </c>
      <c r="D1" s="7" t="s">
        <v>26</v>
      </c>
      <c r="E1" s="7" t="s">
        <v>51</v>
      </c>
      <c r="F1" s="7" t="s">
        <v>52</v>
      </c>
      <c r="G1" s="7" t="s">
        <v>53</v>
      </c>
      <c r="H1" s="7" t="s">
        <v>54</v>
      </c>
      <c r="I1" s="7" t="s">
        <v>55</v>
      </c>
      <c r="J1" s="7" t="s">
        <v>56</v>
      </c>
      <c r="K1" s="7" t="s">
        <v>57</v>
      </c>
      <c r="L1" s="7" t="s">
        <v>58</v>
      </c>
      <c r="M1" s="7" t="s">
        <v>59</v>
      </c>
      <c r="N1" s="7" t="s">
        <v>60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2">
      <c r="A2" s="9" t="s">
        <v>61</v>
      </c>
      <c r="B2" s="11" t="s">
        <v>39</v>
      </c>
      <c r="C2" s="11" t="s">
        <v>40</v>
      </c>
      <c r="D2" s="9"/>
      <c r="E2" s="9">
        <v>1.0</v>
      </c>
      <c r="F2" s="11" t="s">
        <v>62</v>
      </c>
      <c r="G2" s="11" t="s">
        <v>63</v>
      </c>
      <c r="H2" s="13">
        <v>0.6125</v>
      </c>
      <c r="I2" s="13">
        <v>0.61875</v>
      </c>
      <c r="J2" s="13">
        <v>0.375</v>
      </c>
      <c r="K2" s="11"/>
      <c r="L2" s="11" t="s">
        <v>64</v>
      </c>
      <c r="M2" s="9"/>
      <c r="N2" s="11" t="s">
        <v>65</v>
      </c>
    </row>
    <row r="3">
      <c r="A3" s="9" t="s">
        <v>66</v>
      </c>
      <c r="B3" s="11" t="s">
        <v>43</v>
      </c>
      <c r="C3" s="11" t="s">
        <v>40</v>
      </c>
      <c r="D3" s="9"/>
      <c r="E3" s="9">
        <v>2.0</v>
      </c>
      <c r="F3" s="11" t="s">
        <v>63</v>
      </c>
      <c r="G3" s="11" t="s">
        <v>67</v>
      </c>
      <c r="H3" s="13">
        <v>0.625</v>
      </c>
      <c r="I3" s="13">
        <v>0.6284722222222222</v>
      </c>
      <c r="J3" s="13">
        <v>0.20833333333333334</v>
      </c>
      <c r="K3" s="11" t="s">
        <v>68</v>
      </c>
      <c r="L3" s="11" t="s">
        <v>69</v>
      </c>
      <c r="M3" s="9"/>
      <c r="N3" s="11" t="s">
        <v>70</v>
      </c>
    </row>
    <row r="4">
      <c r="A4" s="9" t="s">
        <v>71</v>
      </c>
      <c r="B4" s="11" t="s">
        <v>43</v>
      </c>
      <c r="C4" s="11" t="s">
        <v>40</v>
      </c>
      <c r="D4" s="9"/>
      <c r="E4" s="9">
        <v>3.0</v>
      </c>
      <c r="F4" s="11" t="s">
        <v>67</v>
      </c>
      <c r="G4" s="11" t="s">
        <v>62</v>
      </c>
      <c r="H4" s="13">
        <v>0.6284722222222222</v>
      </c>
      <c r="I4" s="13">
        <v>0.6319444444444444</v>
      </c>
      <c r="J4" s="13">
        <v>0.20833333333333334</v>
      </c>
      <c r="K4" s="9"/>
      <c r="L4" s="11" t="s">
        <v>64</v>
      </c>
      <c r="M4" s="9"/>
      <c r="N4" s="9"/>
    </row>
    <row r="5">
      <c r="A5" s="9" t="s">
        <v>72</v>
      </c>
      <c r="B5" s="11" t="s">
        <v>39</v>
      </c>
      <c r="C5" s="11" t="s">
        <v>45</v>
      </c>
      <c r="D5" s="9"/>
      <c r="E5" s="9">
        <v>4.0</v>
      </c>
      <c r="F5" s="11" t="s">
        <v>73</v>
      </c>
      <c r="G5" s="11" t="s">
        <v>74</v>
      </c>
      <c r="H5" s="13">
        <v>0.6472222222222223</v>
      </c>
      <c r="I5" s="13">
        <v>0.6534722222222222</v>
      </c>
      <c r="J5" s="13">
        <v>0.375</v>
      </c>
      <c r="K5" s="11"/>
      <c r="L5" s="11" t="s">
        <v>64</v>
      </c>
      <c r="M5" s="9"/>
      <c r="N5" s="11" t="s">
        <v>46</v>
      </c>
    </row>
    <row r="6">
      <c r="A6" s="9" t="s">
        <v>75</v>
      </c>
      <c r="B6" s="11" t="s">
        <v>39</v>
      </c>
      <c r="C6" s="11" t="s">
        <v>48</v>
      </c>
      <c r="D6" s="9"/>
      <c r="E6" s="9">
        <v>5.0</v>
      </c>
      <c r="F6" s="11" t="s">
        <v>73</v>
      </c>
      <c r="G6" s="11" t="s">
        <v>62</v>
      </c>
      <c r="H6" s="13">
        <v>0.6715277777777777</v>
      </c>
      <c r="I6" s="13">
        <v>0.6770833333333334</v>
      </c>
      <c r="J6" s="13">
        <v>0.3333333333333333</v>
      </c>
      <c r="K6" s="9"/>
      <c r="L6" s="11" t="s">
        <v>69</v>
      </c>
      <c r="M6" s="9"/>
      <c r="N6" s="11" t="s">
        <v>49</v>
      </c>
    </row>
  </sheetData>
  <dataValidations>
    <dataValidation type="list" allowBlank="1" sqref="C2:C6">
      <formula1>"반려동물 보호자,휠체어 이용자,일반 보행자,유아 동반 가족"</formula1>
    </dataValidation>
    <dataValidation type="list" allowBlank="1" sqref="L2:L6">
      <formula1>"Y,N"</formula1>
    </dataValidation>
    <dataValidation type="list" allowBlank="1" sqref="B2:B6">
      <formula1>"A,B"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9.25"/>
    <col customWidth="1" min="2" max="2" width="9.5"/>
    <col customWidth="1" min="3" max="3" width="9.25"/>
    <col customWidth="1" min="4" max="4" width="15.13"/>
    <col customWidth="1" min="5" max="5" width="16.0"/>
    <col customWidth="1" min="6" max="6" width="4.75"/>
    <col customWidth="1" min="7" max="7" width="5.13"/>
    <col customWidth="1" min="8" max="8" width="14.75"/>
    <col customWidth="1" min="9" max="9" width="14.25"/>
    <col customWidth="1" min="10" max="10" width="13.0"/>
    <col customWidth="1" min="11" max="11" width="7.5"/>
    <col customWidth="1" min="12" max="12" width="14.25"/>
    <col customWidth="1" min="13" max="13" width="14.13"/>
    <col customWidth="1" min="14" max="14" width="15.88"/>
    <col customWidth="1" min="15" max="15" width="10.13"/>
    <col customWidth="1" min="16" max="16" width="15.63"/>
    <col customWidth="1" min="17" max="17" width="16.25"/>
    <col customWidth="1" min="18" max="18" width="27.63"/>
    <col customWidth="1" min="19" max="26" width="8.63"/>
  </cols>
  <sheetData>
    <row r="1">
      <c r="A1" s="7" t="s">
        <v>76</v>
      </c>
      <c r="B1" s="7" t="s">
        <v>24</v>
      </c>
      <c r="C1" s="7" t="s">
        <v>25</v>
      </c>
      <c r="D1" s="7" t="s">
        <v>77</v>
      </c>
      <c r="E1" s="7" t="s">
        <v>78</v>
      </c>
      <c r="F1" s="7" t="s">
        <v>79</v>
      </c>
      <c r="G1" s="7" t="s">
        <v>80</v>
      </c>
      <c r="H1" s="7" t="s">
        <v>81</v>
      </c>
      <c r="I1" s="7" t="s">
        <v>82</v>
      </c>
      <c r="J1" s="7" t="s">
        <v>83</v>
      </c>
      <c r="K1" s="7" t="s">
        <v>84</v>
      </c>
      <c r="L1" s="7" t="s">
        <v>85</v>
      </c>
      <c r="M1" s="7" t="s">
        <v>86</v>
      </c>
      <c r="N1" s="7" t="s">
        <v>87</v>
      </c>
      <c r="O1" s="7" t="s">
        <v>59</v>
      </c>
      <c r="P1" s="7" t="s">
        <v>88</v>
      </c>
      <c r="Q1" s="7" t="s">
        <v>89</v>
      </c>
      <c r="R1" s="7" t="s">
        <v>90</v>
      </c>
      <c r="S1" s="8"/>
      <c r="T1" s="8"/>
      <c r="U1" s="8"/>
      <c r="V1" s="8"/>
      <c r="W1" s="8"/>
      <c r="X1" s="8"/>
      <c r="Y1" s="8"/>
      <c r="Z1" s="8"/>
    </row>
    <row r="2">
      <c r="A2" s="9" t="s">
        <v>91</v>
      </c>
      <c r="B2" s="11" t="s">
        <v>39</v>
      </c>
      <c r="C2" s="11" t="s">
        <v>40</v>
      </c>
      <c r="D2" s="11" t="s">
        <v>62</v>
      </c>
      <c r="E2" s="11" t="s">
        <v>92</v>
      </c>
      <c r="F2" s="9"/>
      <c r="G2" s="9"/>
      <c r="H2" s="11" t="s">
        <v>93</v>
      </c>
      <c r="I2" s="14" t="s">
        <v>94</v>
      </c>
      <c r="J2" s="9"/>
      <c r="K2" s="11" t="s">
        <v>95</v>
      </c>
      <c r="L2" s="11" t="s">
        <v>96</v>
      </c>
      <c r="M2" s="9"/>
      <c r="N2" s="9"/>
      <c r="O2" s="9"/>
      <c r="P2" s="9"/>
      <c r="Q2" s="9"/>
      <c r="R2" s="9"/>
    </row>
    <row r="3">
      <c r="A3" s="9" t="s">
        <v>97</v>
      </c>
      <c r="B3" s="11" t="s">
        <v>39</v>
      </c>
      <c r="C3" s="11" t="s">
        <v>40</v>
      </c>
      <c r="D3" s="11" t="s">
        <v>62</v>
      </c>
      <c r="E3" s="11" t="s">
        <v>98</v>
      </c>
      <c r="F3" s="9"/>
      <c r="G3" s="9"/>
      <c r="H3" s="11" t="s">
        <v>99</v>
      </c>
      <c r="I3" s="9"/>
      <c r="J3" s="9"/>
      <c r="K3" s="11" t="s">
        <v>95</v>
      </c>
      <c r="L3" s="11" t="s">
        <v>100</v>
      </c>
      <c r="M3" s="9"/>
      <c r="N3" s="9"/>
      <c r="O3" s="9"/>
      <c r="P3" s="9"/>
      <c r="Q3" s="9"/>
      <c r="R3" s="9"/>
    </row>
    <row r="4">
      <c r="A4" s="9" t="s">
        <v>101</v>
      </c>
      <c r="B4" s="11" t="s">
        <v>39</v>
      </c>
      <c r="C4" s="11" t="s">
        <v>40</v>
      </c>
      <c r="D4" s="11" t="s">
        <v>62</v>
      </c>
      <c r="E4" s="11" t="s">
        <v>102</v>
      </c>
      <c r="F4" s="9"/>
      <c r="G4" s="9"/>
      <c r="H4" s="9" t="s">
        <v>103</v>
      </c>
      <c r="I4" s="9"/>
      <c r="J4" s="9"/>
      <c r="K4" s="11" t="s">
        <v>95</v>
      </c>
      <c r="L4" s="11" t="s">
        <v>104</v>
      </c>
      <c r="M4" s="9"/>
      <c r="N4" s="9"/>
      <c r="O4" s="9"/>
      <c r="P4" s="9"/>
      <c r="Q4" s="9"/>
      <c r="R4" s="9"/>
    </row>
    <row r="5">
      <c r="A5" s="9" t="s">
        <v>105</v>
      </c>
      <c r="B5" s="11" t="s">
        <v>39</v>
      </c>
      <c r="C5" s="11" t="s">
        <v>40</v>
      </c>
      <c r="D5" s="11" t="s">
        <v>63</v>
      </c>
      <c r="E5" s="11" t="s">
        <v>106</v>
      </c>
      <c r="F5" s="9"/>
      <c r="G5" s="9"/>
      <c r="H5" s="9" t="s">
        <v>103</v>
      </c>
      <c r="I5" s="11" t="s">
        <v>107</v>
      </c>
      <c r="J5" s="9"/>
      <c r="K5" s="11" t="s">
        <v>95</v>
      </c>
      <c r="L5" s="11" t="s">
        <v>108</v>
      </c>
      <c r="M5" s="9"/>
      <c r="N5" s="9"/>
      <c r="O5" s="9"/>
      <c r="P5" s="9"/>
      <c r="Q5" s="9"/>
      <c r="R5" s="9"/>
    </row>
    <row r="6">
      <c r="A6" s="9" t="s">
        <v>109</v>
      </c>
      <c r="B6" s="11" t="s">
        <v>39</v>
      </c>
      <c r="C6" s="11" t="s">
        <v>40</v>
      </c>
      <c r="D6" s="11" t="s">
        <v>63</v>
      </c>
      <c r="E6" s="11" t="s">
        <v>106</v>
      </c>
      <c r="F6" s="9"/>
      <c r="G6" s="9"/>
      <c r="H6" s="9" t="s">
        <v>103</v>
      </c>
      <c r="I6" s="11" t="s">
        <v>110</v>
      </c>
      <c r="J6" s="9"/>
      <c r="K6" s="11" t="s">
        <v>95</v>
      </c>
      <c r="L6" s="11" t="s">
        <v>111</v>
      </c>
      <c r="M6" s="9"/>
      <c r="N6" s="9"/>
      <c r="O6" s="9"/>
      <c r="P6" s="9"/>
      <c r="Q6" s="9"/>
      <c r="R6" s="9"/>
    </row>
    <row r="7">
      <c r="A7" s="9" t="s">
        <v>112</v>
      </c>
      <c r="B7" s="11" t="s">
        <v>39</v>
      </c>
      <c r="C7" s="11" t="s">
        <v>40</v>
      </c>
      <c r="D7" s="11" t="s">
        <v>63</v>
      </c>
      <c r="E7" s="11" t="s">
        <v>106</v>
      </c>
      <c r="F7" s="9"/>
      <c r="G7" s="9"/>
      <c r="H7" s="9" t="s">
        <v>103</v>
      </c>
      <c r="I7" s="11" t="s">
        <v>113</v>
      </c>
      <c r="J7" s="9"/>
      <c r="K7" s="11" t="s">
        <v>95</v>
      </c>
      <c r="L7" s="11" t="s">
        <v>114</v>
      </c>
      <c r="M7" s="9"/>
      <c r="N7" s="9"/>
      <c r="O7" s="9"/>
      <c r="P7" s="9"/>
      <c r="Q7" s="9"/>
      <c r="R7" s="9"/>
    </row>
    <row r="8">
      <c r="A8" s="9" t="s">
        <v>115</v>
      </c>
      <c r="B8" s="11" t="s">
        <v>43</v>
      </c>
      <c r="C8" s="11" t="s">
        <v>40</v>
      </c>
      <c r="D8" s="11" t="s">
        <v>63</v>
      </c>
      <c r="E8" s="11" t="s">
        <v>106</v>
      </c>
      <c r="F8" s="9"/>
      <c r="G8" s="9"/>
      <c r="H8" s="9" t="s">
        <v>103</v>
      </c>
      <c r="I8" s="11" t="s">
        <v>116</v>
      </c>
      <c r="J8" s="9"/>
      <c r="K8" s="11" t="s">
        <v>95</v>
      </c>
      <c r="L8" s="11" t="s">
        <v>117</v>
      </c>
      <c r="M8" s="9"/>
      <c r="N8" s="9"/>
      <c r="O8" s="9"/>
      <c r="P8" s="9"/>
      <c r="Q8" s="9"/>
      <c r="R8" s="9"/>
    </row>
    <row r="9">
      <c r="A9" s="9" t="s">
        <v>118</v>
      </c>
      <c r="B9" s="11" t="s">
        <v>43</v>
      </c>
      <c r="C9" s="11" t="s">
        <v>40</v>
      </c>
      <c r="D9" s="11" t="s">
        <v>63</v>
      </c>
      <c r="E9" s="11" t="s">
        <v>106</v>
      </c>
      <c r="F9" s="9"/>
      <c r="G9" s="9"/>
      <c r="H9" s="11" t="s">
        <v>93</v>
      </c>
      <c r="I9" s="14" t="s">
        <v>119</v>
      </c>
      <c r="J9" s="9"/>
      <c r="K9" s="11" t="s">
        <v>95</v>
      </c>
      <c r="L9" s="11" t="s">
        <v>120</v>
      </c>
      <c r="M9" s="9"/>
      <c r="N9" s="9"/>
      <c r="O9" s="9"/>
      <c r="P9" s="9"/>
      <c r="Q9" s="9"/>
      <c r="R9" s="9"/>
    </row>
    <row r="10">
      <c r="A10" s="9" t="s">
        <v>121</v>
      </c>
      <c r="B10" s="11" t="s">
        <v>43</v>
      </c>
      <c r="C10" s="11" t="s">
        <v>40</v>
      </c>
      <c r="D10" s="11" t="s">
        <v>63</v>
      </c>
      <c r="E10" s="11" t="s">
        <v>106</v>
      </c>
      <c r="F10" s="9"/>
      <c r="G10" s="9"/>
      <c r="H10" s="9" t="s">
        <v>103</v>
      </c>
      <c r="I10" s="11" t="s">
        <v>122</v>
      </c>
      <c r="J10" s="9"/>
      <c r="K10" s="11" t="s">
        <v>95</v>
      </c>
      <c r="L10" s="9"/>
      <c r="M10" s="9"/>
      <c r="N10" s="9"/>
      <c r="O10" s="9"/>
      <c r="P10" s="9"/>
      <c r="Q10" s="9"/>
      <c r="R10" s="9"/>
    </row>
    <row r="11">
      <c r="A11" s="9" t="s">
        <v>123</v>
      </c>
      <c r="B11" s="11" t="s">
        <v>43</v>
      </c>
      <c r="C11" s="11" t="s">
        <v>40</v>
      </c>
      <c r="D11" s="11" t="s">
        <v>63</v>
      </c>
      <c r="E11" s="11" t="s">
        <v>106</v>
      </c>
      <c r="F11" s="9"/>
      <c r="G11" s="9"/>
      <c r="H11" s="11" t="s">
        <v>99</v>
      </c>
      <c r="I11" s="11" t="s">
        <v>124</v>
      </c>
      <c r="J11" s="9"/>
      <c r="K11" s="11" t="s">
        <v>95</v>
      </c>
      <c r="L11" s="11" t="s">
        <v>125</v>
      </c>
      <c r="M11" s="9"/>
      <c r="N11" s="9"/>
      <c r="O11" s="9"/>
      <c r="P11" s="9"/>
      <c r="Q11" s="9"/>
      <c r="R11" s="9"/>
    </row>
    <row r="12">
      <c r="A12" s="9" t="s">
        <v>126</v>
      </c>
      <c r="B12" s="11" t="s">
        <v>43</v>
      </c>
      <c r="C12" s="11" t="s">
        <v>40</v>
      </c>
      <c r="D12" s="11" t="s">
        <v>63</v>
      </c>
      <c r="E12" s="11" t="s">
        <v>106</v>
      </c>
      <c r="F12" s="9"/>
      <c r="G12" s="9"/>
      <c r="H12" s="9" t="s">
        <v>103</v>
      </c>
      <c r="I12" s="11" t="s">
        <v>127</v>
      </c>
      <c r="J12" s="9"/>
      <c r="K12" s="11" t="s">
        <v>95</v>
      </c>
      <c r="L12" s="9"/>
      <c r="M12" s="9"/>
      <c r="N12" s="9"/>
      <c r="O12" s="9"/>
      <c r="P12" s="9"/>
      <c r="Q12" s="9"/>
      <c r="R12" s="9"/>
    </row>
    <row r="13">
      <c r="A13" s="9" t="s">
        <v>128</v>
      </c>
      <c r="B13" s="11" t="s">
        <v>39</v>
      </c>
      <c r="C13" s="11" t="s">
        <v>45</v>
      </c>
      <c r="D13" s="11" t="s">
        <v>73</v>
      </c>
      <c r="E13" s="11" t="s">
        <v>129</v>
      </c>
      <c r="F13" s="9"/>
      <c r="G13" s="9"/>
      <c r="H13" s="11" t="s">
        <v>93</v>
      </c>
      <c r="I13" s="11" t="s">
        <v>130</v>
      </c>
      <c r="J13" s="9"/>
      <c r="K13" s="11" t="s">
        <v>95</v>
      </c>
      <c r="L13" s="11" t="s">
        <v>131</v>
      </c>
      <c r="M13" s="9"/>
      <c r="N13" s="9"/>
      <c r="O13" s="9"/>
      <c r="P13" s="9"/>
      <c r="Q13" s="9"/>
      <c r="R13" s="9"/>
    </row>
    <row r="14">
      <c r="A14" s="9" t="s">
        <v>132</v>
      </c>
      <c r="B14" s="11" t="s">
        <v>39</v>
      </c>
      <c r="C14" s="11" t="s">
        <v>45</v>
      </c>
      <c r="D14" s="11" t="s">
        <v>73</v>
      </c>
      <c r="E14" s="11" t="s">
        <v>129</v>
      </c>
      <c r="F14" s="9"/>
      <c r="G14" s="9"/>
      <c r="H14" s="9" t="s">
        <v>103</v>
      </c>
      <c r="I14" s="11" t="s">
        <v>133</v>
      </c>
      <c r="J14" s="9"/>
      <c r="K14" s="11" t="s">
        <v>95</v>
      </c>
      <c r="L14" s="11" t="s">
        <v>134</v>
      </c>
      <c r="M14" s="9"/>
      <c r="N14" s="9"/>
      <c r="O14" s="9"/>
      <c r="P14" s="9"/>
      <c r="Q14" s="9"/>
      <c r="R14" s="9"/>
    </row>
    <row r="15">
      <c r="A15" s="9" t="s">
        <v>135</v>
      </c>
      <c r="B15" s="11" t="s">
        <v>39</v>
      </c>
      <c r="C15" s="11" t="s">
        <v>45</v>
      </c>
      <c r="D15" s="11" t="s">
        <v>73</v>
      </c>
      <c r="E15" s="11" t="s">
        <v>129</v>
      </c>
      <c r="F15" s="9"/>
      <c r="G15" s="9"/>
      <c r="H15" s="11" t="s">
        <v>99</v>
      </c>
      <c r="I15" s="11" t="s">
        <v>136</v>
      </c>
      <c r="J15" s="9"/>
      <c r="K15" s="11" t="s">
        <v>95</v>
      </c>
      <c r="L15" s="11" t="s">
        <v>137</v>
      </c>
      <c r="M15" s="9"/>
      <c r="N15" s="9"/>
      <c r="O15" s="9"/>
      <c r="P15" s="9"/>
      <c r="Q15" s="9"/>
      <c r="R15" s="9"/>
    </row>
    <row r="16">
      <c r="A16" s="9" t="s">
        <v>138</v>
      </c>
      <c r="B16" s="11" t="s">
        <v>39</v>
      </c>
      <c r="C16" s="11" t="s">
        <v>45</v>
      </c>
      <c r="D16" s="11" t="s">
        <v>74</v>
      </c>
      <c r="E16" s="11" t="s">
        <v>139</v>
      </c>
      <c r="F16" s="9"/>
      <c r="G16" s="9"/>
      <c r="H16" s="9" t="s">
        <v>103</v>
      </c>
      <c r="I16" s="9"/>
      <c r="J16" s="9"/>
      <c r="K16" s="11" t="s">
        <v>95</v>
      </c>
      <c r="L16" s="11" t="s">
        <v>140</v>
      </c>
      <c r="M16" s="9"/>
      <c r="N16" s="9"/>
      <c r="O16" s="9"/>
      <c r="P16" s="9"/>
      <c r="Q16" s="9"/>
      <c r="R16" s="9"/>
    </row>
    <row r="17">
      <c r="A17" s="9" t="s">
        <v>141</v>
      </c>
      <c r="B17" s="11" t="s">
        <v>39</v>
      </c>
      <c r="C17" s="11" t="s">
        <v>48</v>
      </c>
      <c r="D17" s="11" t="s">
        <v>73</v>
      </c>
      <c r="E17" s="11" t="s">
        <v>129</v>
      </c>
      <c r="F17" s="9"/>
      <c r="G17" s="9"/>
      <c r="H17" s="9" t="s">
        <v>103</v>
      </c>
      <c r="I17" s="9"/>
      <c r="J17" s="9"/>
      <c r="K17" s="11" t="s">
        <v>95</v>
      </c>
      <c r="L17" s="11" t="s">
        <v>142</v>
      </c>
      <c r="M17" s="9"/>
      <c r="N17" s="9"/>
      <c r="O17" s="9"/>
      <c r="P17" s="9"/>
      <c r="Q17" s="9"/>
      <c r="R17" s="9"/>
    </row>
    <row r="18">
      <c r="A18" s="9" t="s">
        <v>143</v>
      </c>
      <c r="B18" s="11" t="s">
        <v>39</v>
      </c>
      <c r="C18" s="11" t="s">
        <v>48</v>
      </c>
      <c r="D18" s="11" t="s">
        <v>73</v>
      </c>
      <c r="E18" s="11" t="s">
        <v>129</v>
      </c>
      <c r="F18" s="9"/>
      <c r="G18" s="9"/>
      <c r="H18" s="11" t="s">
        <v>93</v>
      </c>
      <c r="I18" s="11" t="s">
        <v>144</v>
      </c>
      <c r="J18" s="9"/>
      <c r="K18" s="11" t="s">
        <v>95</v>
      </c>
      <c r="L18" s="11" t="s">
        <v>145</v>
      </c>
      <c r="M18" s="9"/>
      <c r="N18" s="9"/>
      <c r="O18" s="9"/>
      <c r="P18" s="9"/>
      <c r="Q18" s="9"/>
      <c r="R18" s="9"/>
    </row>
    <row r="19">
      <c r="A19" s="9" t="s">
        <v>146</v>
      </c>
      <c r="B19" s="11" t="s">
        <v>39</v>
      </c>
      <c r="C19" s="11" t="s">
        <v>48</v>
      </c>
      <c r="D19" s="11" t="s">
        <v>73</v>
      </c>
      <c r="E19" s="11" t="s">
        <v>129</v>
      </c>
      <c r="F19" s="9"/>
      <c r="G19" s="9"/>
      <c r="H19" s="9" t="s">
        <v>103</v>
      </c>
      <c r="I19" s="11" t="s">
        <v>147</v>
      </c>
      <c r="J19" s="9"/>
      <c r="K19" s="11" t="s">
        <v>95</v>
      </c>
      <c r="L19" s="11" t="s">
        <v>148</v>
      </c>
      <c r="M19" s="9"/>
      <c r="N19" s="9"/>
      <c r="O19" s="9"/>
      <c r="P19" s="9"/>
      <c r="Q19" s="9"/>
      <c r="R19" s="9"/>
    </row>
    <row r="20">
      <c r="A20" s="9" t="s">
        <v>149</v>
      </c>
      <c r="B20" s="11" t="s">
        <v>39</v>
      </c>
      <c r="C20" s="11" t="s">
        <v>48</v>
      </c>
      <c r="D20" s="11" t="s">
        <v>73</v>
      </c>
      <c r="E20" s="11" t="s">
        <v>129</v>
      </c>
      <c r="F20" s="9"/>
      <c r="G20" s="9"/>
      <c r="H20" s="11" t="s">
        <v>93</v>
      </c>
      <c r="I20" s="11" t="s">
        <v>150</v>
      </c>
      <c r="J20" s="9"/>
      <c r="K20" s="11" t="s">
        <v>95</v>
      </c>
      <c r="L20" s="9"/>
      <c r="M20" s="9"/>
      <c r="N20" s="9"/>
      <c r="O20" s="9"/>
      <c r="P20" s="9"/>
      <c r="Q20" s="9"/>
      <c r="R20" s="9"/>
    </row>
    <row r="21" ht="15.75" customHeight="1">
      <c r="A21" s="9" t="s">
        <v>151</v>
      </c>
      <c r="B21" s="11" t="s">
        <v>39</v>
      </c>
      <c r="C21" s="11" t="s">
        <v>48</v>
      </c>
      <c r="D21" s="11" t="s">
        <v>62</v>
      </c>
      <c r="E21" s="11" t="s">
        <v>92</v>
      </c>
      <c r="F21" s="9"/>
      <c r="G21" s="9"/>
      <c r="H21" s="11" t="s">
        <v>93</v>
      </c>
      <c r="I21" s="11" t="s">
        <v>152</v>
      </c>
      <c r="J21" s="9"/>
      <c r="K21" s="11" t="s">
        <v>95</v>
      </c>
      <c r="L21" s="9"/>
      <c r="M21" s="9"/>
      <c r="N21" s="9"/>
      <c r="O21" s="9"/>
      <c r="P21" s="9"/>
      <c r="Q21" s="9"/>
      <c r="R21" s="9"/>
    </row>
  </sheetData>
  <conditionalFormatting sqref="J2:J21">
    <cfRule type="cellIs" dxfId="4" priority="1" operator="greaterThanOrEqual">
      <formula>4</formula>
    </cfRule>
  </conditionalFormatting>
  <dataValidations>
    <dataValidation type="list" allowBlank="1" sqref="J2:J21">
      <formula1>"1,2,3,4,5"</formula1>
    </dataValidation>
    <dataValidation type="list" allowBlank="1" sqref="C2:C21">
      <formula1>"반려동물 보호자,휠체어 이용자,일반 보행자,유아 동반 가족"</formula1>
    </dataValidation>
    <dataValidation type="list" allowBlank="1" sqref="Q2:Q21">
      <formula1>"당사자,보호자,대피소 관리자,데이터 운영자,현장 담당자"</formula1>
    </dataValidation>
    <dataValidation type="list" allowBlank="1" sqref="B2:B21">
      <formula1>"A,B"</formula1>
    </dataValidation>
    <dataValidation type="list" allowBlank="1" sqref="K2:K21">
      <formula1>"후보,확인됨,제외"</formula1>
    </dataValidation>
    <dataValidation type="list" allowBlank="1" sqref="N2:N21">
      <formula1>"Y,N,확인 필요"</formula1>
    </dataValidation>
    <dataValidation type="list" allowBlank="1" sqref="H2:H21">
      <formula1>"물리,정보,심리,운영"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5"/>
    <col customWidth="1" min="2" max="2" width="12.25"/>
    <col customWidth="1" min="3" max="3" width="12.63"/>
    <col customWidth="1" min="4" max="4" width="22.38"/>
    <col customWidth="1" min="5" max="5" width="15.38"/>
    <col customWidth="1" min="6" max="6" width="7.25"/>
    <col customWidth="1" min="7" max="7" width="11.88"/>
    <col customWidth="1" min="8" max="8" width="11.13"/>
    <col customWidth="1" min="9" max="9" width="13.75"/>
    <col customWidth="1" min="10" max="10" width="17.0"/>
    <col customWidth="1" min="11" max="11" width="19.88"/>
    <col customWidth="1" min="12" max="12" width="15.63"/>
    <col customWidth="1" min="13" max="26" width="8.63"/>
  </cols>
  <sheetData>
    <row r="1">
      <c r="A1" s="7" t="s">
        <v>24</v>
      </c>
      <c r="B1" s="7" t="s">
        <v>25</v>
      </c>
      <c r="C1" s="7" t="s">
        <v>26</v>
      </c>
      <c r="D1" s="7" t="s">
        <v>153</v>
      </c>
      <c r="E1" s="7" t="s">
        <v>28</v>
      </c>
      <c r="F1" s="7" t="s">
        <v>27</v>
      </c>
      <c r="G1" s="7" t="s">
        <v>29</v>
      </c>
      <c r="H1" s="7" t="s">
        <v>30</v>
      </c>
      <c r="I1" s="7" t="s">
        <v>31</v>
      </c>
      <c r="J1" s="7" t="s">
        <v>154</v>
      </c>
      <c r="K1" s="7" t="s">
        <v>155</v>
      </c>
      <c r="L1" s="7" t="s">
        <v>156</v>
      </c>
    </row>
    <row r="2">
      <c r="A2" s="9" t="s">
        <v>39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</row>
    <row r="3">
      <c r="A3" s="9" t="s">
        <v>39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>
      <c r="A4" s="9" t="s">
        <v>43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>
      <c r="A5" s="9" t="s">
        <v>43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88"/>
    <col customWidth="1" min="2" max="2" width="32.88"/>
    <col customWidth="1" min="3" max="3" width="61.13"/>
    <col customWidth="1" min="4" max="4" width="58.0"/>
    <col customWidth="1" min="5" max="5" width="13.88"/>
    <col customWidth="1" min="6" max="26" width="8.63"/>
  </cols>
  <sheetData>
    <row r="1">
      <c r="A1" s="7" t="s">
        <v>157</v>
      </c>
      <c r="B1" s="7" t="s">
        <v>158</v>
      </c>
      <c r="C1" s="7" t="s">
        <v>159</v>
      </c>
      <c r="D1" s="7" t="s">
        <v>160</v>
      </c>
      <c r="E1" s="7" t="s">
        <v>161</v>
      </c>
    </row>
    <row r="2">
      <c r="A2" s="9" t="s">
        <v>162</v>
      </c>
      <c r="B2" s="9" t="s">
        <v>1</v>
      </c>
      <c r="C2" s="9" t="s">
        <v>163</v>
      </c>
      <c r="D2" s="9" t="s">
        <v>164</v>
      </c>
      <c r="E2" s="15">
        <v>46157.0</v>
      </c>
    </row>
    <row r="3">
      <c r="A3" s="9" t="s">
        <v>165</v>
      </c>
      <c r="B3" s="9" t="s">
        <v>166</v>
      </c>
      <c r="C3" s="9" t="s">
        <v>167</v>
      </c>
      <c r="D3" s="9" t="s">
        <v>168</v>
      </c>
      <c r="E3" s="15">
        <v>46157.0</v>
      </c>
    </row>
    <row r="4">
      <c r="A4" s="9" t="s">
        <v>169</v>
      </c>
      <c r="B4" s="9" t="s">
        <v>170</v>
      </c>
      <c r="C4" s="9" t="s">
        <v>171</v>
      </c>
      <c r="D4" s="9" t="s">
        <v>172</v>
      </c>
      <c r="E4" s="15">
        <v>46157.0</v>
      </c>
    </row>
    <row r="5">
      <c r="A5" s="9" t="s">
        <v>173</v>
      </c>
      <c r="B5" s="9" t="s">
        <v>174</v>
      </c>
      <c r="C5" s="9" t="s">
        <v>175</v>
      </c>
      <c r="D5" s="9" t="s">
        <v>176</v>
      </c>
      <c r="E5" s="15">
        <v>46157.0</v>
      </c>
    </row>
    <row r="6">
      <c r="A6" s="9" t="s">
        <v>177</v>
      </c>
      <c r="B6" s="9" t="s">
        <v>178</v>
      </c>
      <c r="C6" s="9" t="s">
        <v>179</v>
      </c>
      <c r="D6" s="9" t="s">
        <v>180</v>
      </c>
      <c r="E6" s="15">
        <v>46157.0</v>
      </c>
    </row>
    <row r="7">
      <c r="E7" s="16"/>
    </row>
    <row r="8">
      <c r="E8" s="16"/>
    </row>
    <row r="9">
      <c r="E9" s="16"/>
    </row>
    <row r="10">
      <c r="E10" s="1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